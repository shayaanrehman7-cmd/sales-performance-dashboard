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 Data" sheetId="2" state="visible" r:id="rId4"/>
    <sheet name="Monthly Summary" sheetId="3" state="visible" r:id="rId5"/>
    <sheet name="Regional Summary" sheetId="4" state="visible" r:id="rId6"/>
    <sheet name="Product Summary" sheetId="5" state="visible" r:id="rId7"/>
  </sheets>
  <definedNames>
    <definedName function="false" hidden="true" localSheetId="1" name="_xlnm._FilterDatabase" vbProcedure="false">'Raw Data'!$A$1:$N$1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<sst xmlns="http://schemas.openxmlformats.org/spreadsheetml/2006/main" count="790" uniqueCount="69">
  <si>
    <t xml:space="preserve">SALES PERFORMANCE DASHBOARD  —  FY 2024</t>
  </si>
  <si>
    <t xml:space="preserve">Annual overview  |  All regions  |  All products</t>
  </si>
  <si>
    <t xml:space="preserve">TOTAL REVENUE</t>
  </si>
  <si>
    <t xml:space="preserve">TOTAL PROFIT</t>
  </si>
  <si>
    <t xml:space="preserve">AVG PROFIT MARGIN</t>
  </si>
  <si>
    <t xml:space="preserve">TOTAL LEADS</t>
  </si>
  <si>
    <t xml:space="preserve">DEALS CLOSED</t>
  </si>
  <si>
    <t xml:space="preserve">  MONTHLY TRENDS</t>
  </si>
  <si>
    <t xml:space="preserve">  REGIONAL &amp; PRODUCT BREAKDOWN</t>
  </si>
  <si>
    <t xml:space="preserve">Month</t>
  </si>
  <si>
    <t xml:space="preserve">Quarter</t>
  </si>
  <si>
    <t xml:space="preserve">Region</t>
  </si>
  <si>
    <t xml:space="preserve">Sales Rep</t>
  </si>
  <si>
    <t xml:space="preserve">Product</t>
  </si>
  <si>
    <t xml:space="preserve">Units Sold</t>
  </si>
  <si>
    <t xml:space="preserve">Unit Price (£)</t>
  </si>
  <si>
    <t xml:space="preserve">Revenue (£)</t>
  </si>
  <si>
    <t xml:space="preserve">Cost (£)</t>
  </si>
  <si>
    <t xml:space="preserve">Profit (£)</t>
  </si>
  <si>
    <t xml:space="preserve">Profit Margin (%)</t>
  </si>
  <si>
    <t xml:space="preserve">Leads Generated</t>
  </si>
  <si>
    <t xml:space="preserve">Deals Closed</t>
  </si>
  <si>
    <t xml:space="preserve">Conversion Rate (%)</t>
  </si>
  <si>
    <t xml:space="preserve">Jan</t>
  </si>
  <si>
    <t xml:space="preserve">Q1</t>
  </si>
  <si>
    <t xml:space="preserve">North</t>
  </si>
  <si>
    <t xml:space="preserve">Ben Carter</t>
  </si>
  <si>
    <t xml:space="preserve">Consulting</t>
  </si>
  <si>
    <t xml:space="preserve">Alice Johnson</t>
  </si>
  <si>
    <t xml:space="preserve">CRM Software</t>
  </si>
  <si>
    <t xml:space="preserve">Faisal Khan</t>
  </si>
  <si>
    <t xml:space="preserve">Analytics Suite</t>
  </si>
  <si>
    <t xml:space="preserve">South</t>
  </si>
  <si>
    <t xml:space="preserve">David Lee</t>
  </si>
  <si>
    <t xml:space="preserve">Henry Moss</t>
  </si>
  <si>
    <t xml:space="preserve">Emma Brown</t>
  </si>
  <si>
    <t xml:space="preserve">Support Plan</t>
  </si>
  <si>
    <t xml:space="preserve">East</t>
  </si>
  <si>
    <t xml:space="preserve">Training Package</t>
  </si>
  <si>
    <t xml:space="preserve">West</t>
  </si>
  <si>
    <t xml:space="preserve">Feb</t>
  </si>
  <si>
    <t xml:space="preserve">Grace Kim</t>
  </si>
  <si>
    <t xml:space="preserve">Clara Diaz</t>
  </si>
  <si>
    <t xml:space="preserve">Mar</t>
  </si>
  <si>
    <t xml:space="preserve">Apr</t>
  </si>
  <si>
    <t xml:space="preserve">Q2</t>
  </si>
  <si>
    <t xml:space="preserve">May</t>
  </si>
  <si>
    <t xml:space="preserve">Jun</t>
  </si>
  <si>
    <t xml:space="preserve">Jul</t>
  </si>
  <si>
    <t xml:space="preserve">Q3</t>
  </si>
  <si>
    <t xml:space="preserve">Aug</t>
  </si>
  <si>
    <t xml:space="preserve">Sep</t>
  </si>
  <si>
    <t xml:space="preserve">Oct</t>
  </si>
  <si>
    <t xml:space="preserve">Q4</t>
  </si>
  <si>
    <t xml:space="preserve">Nov</t>
  </si>
  <si>
    <t xml:space="preserve">Dec</t>
  </si>
  <si>
    <t xml:space="preserve">Monthly Sales Performance Summary</t>
  </si>
  <si>
    <t xml:space="preserve">Total Revenue (£)</t>
  </si>
  <si>
    <t xml:space="preserve">Total Cost (£)</t>
  </si>
  <si>
    <t xml:space="preserve">Total Profit (£)</t>
  </si>
  <si>
    <t xml:space="preserve">Avg Profit Margin (%)</t>
  </si>
  <si>
    <t xml:space="preserve">Total Leads</t>
  </si>
  <si>
    <t xml:space="preserve">Total Deals Closed</t>
  </si>
  <si>
    <t xml:space="preserve">Avg Conversion Rate (%)</t>
  </si>
  <si>
    <t xml:space="preserve">TOTAL / AVG</t>
  </si>
  <si>
    <t xml:space="preserve">Regional Sales Performance Summary</t>
  </si>
  <si>
    <t xml:space="preserve">Product Performance Summary</t>
  </si>
  <si>
    <t xml:space="preserve">Avg Unit Price (£)</t>
  </si>
  <si>
    <t xml:space="preserve">Revenue Share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</si>
</sst>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%"/>
    <numFmt numFmtId="168" formatCode="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9AA5B4"/>
      <name val="Arial"/>
      <family val="0"/>
      <charset val="1"/>
    </font>
    <font>
      <b val="true"/>
      <sz val="9"/>
      <color rgb="FF9AA5B4"/>
      <name val="Arial"/>
      <family val="0"/>
      <charset val="1"/>
    </font>
    <font>
      <b val="true"/>
      <sz val="18"/>
      <color rgb="FF2E86AB"/>
      <name val="Arial"/>
      <family val="0"/>
      <charset val="1"/>
    </font>
    <font>
      <b val="true"/>
      <sz val="18"/>
      <color rgb="FF44BBA4"/>
      <name val="Arial"/>
      <family val="0"/>
      <charset val="1"/>
    </font>
    <font>
      <b val="true"/>
      <sz val="18"/>
      <color rgb="FFF18F01"/>
      <name val="Arial"/>
      <family val="0"/>
      <charset val="1"/>
    </font>
    <font>
      <b val="true"/>
      <sz val="18"/>
      <color rgb="FF7B61FF"/>
      <name val="Arial"/>
      <family val="0"/>
      <charset val="1"/>
    </font>
    <font>
      <b val="true"/>
      <sz val="18"/>
      <color rgb="FFE84855"/>
      <name val="Arial"/>
      <family val="0"/>
      <charset val="1"/>
    </font>
    <font>
      <b val="true"/>
      <sz val="11"/>
      <color rgb="FF1F2D3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5F7FA"/>
        <bgColor rgb="FFF9F9F9"/>
      </patternFill>
    </fill>
    <fill>
      <patternFill patternType="solid">
        <fgColor rgb="FF2E86AB"/>
        <bgColor rgb="FF4F81BD"/>
      </patternFill>
    </fill>
    <fill>
      <patternFill patternType="solid">
        <fgColor rgb="FF44BBA4"/>
        <bgColor rgb="FF4BACC6"/>
      </patternFill>
    </fill>
    <fill>
      <patternFill patternType="solid">
        <fgColor rgb="FFF18F01"/>
        <bgColor rgb="FFFF8080"/>
      </patternFill>
    </fill>
    <fill>
      <patternFill patternType="solid">
        <fgColor rgb="FF7B61FF"/>
        <bgColor rgb="FF8064A2"/>
      </patternFill>
    </fill>
    <fill>
      <patternFill patternType="solid">
        <fgColor rgb="FFE84855"/>
        <bgColor rgb="FFC0504D"/>
      </patternFill>
    </fill>
    <fill>
      <patternFill patternType="solid">
        <fgColor rgb="FFFFFFFF"/>
        <bgColor rgb="FFF9F9F9"/>
      </patternFill>
    </fill>
    <fill>
      <patternFill patternType="solid">
        <fgColor rgb="FFDDE3E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2D3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7B61FF"/>
      <rgbColor rgb="FFC0504D"/>
      <rgbColor rgb="FFF9F9F9"/>
      <rgbColor rgb="FFF5F7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BACC6"/>
      <rgbColor rgb="FFDDE3EA"/>
      <rgbColor rgb="FFCCFFCC"/>
      <rgbColor rgb="FFFFFF99"/>
      <rgbColor rgb="FF99CCFF"/>
      <rgbColor rgb="FFFF99CC"/>
      <rgbColor rgb="FFCC99FF"/>
      <rgbColor rgb="FFFFCC99"/>
      <rgbColor rgb="FF4F81BD"/>
      <rgbColor rgb="FF44BBA4"/>
      <rgbColor rgb="FF9BBB59"/>
      <rgbColor rgb="FFFFCC00"/>
      <rgbColor rgb="FFF18F01"/>
      <rgbColor rgb="FFE84855"/>
      <rgbColor rgb="FF8064A2"/>
      <rgbColor rgb="FF9AA5B4"/>
      <rgbColor rgb="FF003366"/>
      <rgbColor rgb="FF2E86AB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Profit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Summary'!B2</c:f>
              <c:strCache>
                <c:ptCount val="1"/>
                <c:pt idx="0">
                  <c:v>Total Revenue (£)</c:v>
                </c:pt>
              </c:strCache>
            </c:strRef>
          </c:tx>
          <c:spPr>
            <a:solidFill>
              <a:srgbClr val="2e86ab"/>
            </a:solidFill>
            <a:ln w="4752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Summary'!$B$3:$B$14</c:f>
              <c:numCache>
                <c:formatCode>#,##0</c:formatCode>
                <c:ptCount val="12"/>
                <c:pt idx="0">
                  <c:v>186741.65</c:v>
                </c:pt>
                <c:pt idx="1">
                  <c:v>212285.8</c:v>
                </c:pt>
                <c:pt idx="2">
                  <c:v>162259.27</c:v>
                </c:pt>
                <c:pt idx="3">
                  <c:v>191007.05</c:v>
                </c:pt>
                <c:pt idx="4">
                  <c:v>108546.66</c:v>
                </c:pt>
                <c:pt idx="5">
                  <c:v>169090.28</c:v>
                </c:pt>
                <c:pt idx="6">
                  <c:v>225761.08</c:v>
                </c:pt>
                <c:pt idx="7">
                  <c:v>133174.1</c:v>
                </c:pt>
                <c:pt idx="8">
                  <c:v>192962.85</c:v>
                </c:pt>
                <c:pt idx="9">
                  <c:v>237926.15</c:v>
                </c:pt>
                <c:pt idx="10">
                  <c:v>149779.73</c:v>
                </c:pt>
                <c:pt idx="11">
                  <c:v>219556.85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'Monthly Summary'!D2</c:f>
              <c:strCache>
                <c:ptCount val="1"/>
                <c:pt idx="0">
                  <c:v>Total Profit (£)</c:v>
                </c:pt>
              </c:strCache>
            </c:strRef>
          </c:tx>
          <c:spPr>
            <a:solidFill>
              <a:srgbClr val="44bba4"/>
            </a:solidFill>
            <a:ln w="47520">
              <a:solidFill>
                <a:srgbClr val="44bb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Summary'!$D$3:$D$14</c:f>
              <c:numCache>
                <c:formatCode>#,##0</c:formatCode>
                <c:ptCount val="12"/>
                <c:pt idx="0">
                  <c:v>86471.84</c:v>
                </c:pt>
                <c:pt idx="1">
                  <c:v>92415.08</c:v>
                </c:pt>
                <c:pt idx="2">
                  <c:v>69483.53</c:v>
                </c:pt>
                <c:pt idx="3">
                  <c:v>86388.07</c:v>
                </c:pt>
                <c:pt idx="4">
                  <c:v>45700.25</c:v>
                </c:pt>
                <c:pt idx="5">
                  <c:v>76257.21</c:v>
                </c:pt>
                <c:pt idx="6">
                  <c:v>99804.4</c:v>
                </c:pt>
                <c:pt idx="7">
                  <c:v>60919.25</c:v>
                </c:pt>
                <c:pt idx="8">
                  <c:v>86645.65</c:v>
                </c:pt>
                <c:pt idx="9">
                  <c:v>103710.96</c:v>
                </c:pt>
                <c:pt idx="10">
                  <c:v>70679.93</c:v>
                </c:pt>
                <c:pt idx="11">
                  <c:v>105398.64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83719"/>
        <c:axId val="60728780"/>
      </c:lineChart>
      <c:catAx>
        <c:axId val="12837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28780"/>
        <c:crosses val="autoZero"/>
        <c:auto val="1"/>
        <c:lblAlgn val="ctr"/>
        <c:lblOffset val="100"/>
        <c:noMultiLvlLbl val="0"/>
      </c:catAx>
      <c:valAx>
        <c:axId val="607287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37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Avg Conversion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Summary'!H2</c:f>
              <c:strCache>
                <c:ptCount val="1"/>
                <c:pt idx="0">
                  <c:v>Avg Conversion Rate (%)</c:v>
                </c:pt>
              </c:strCache>
            </c:strRef>
          </c:tx>
          <c:spPr>
            <a:solidFill>
              <a:srgbClr val="f18f01"/>
            </a:solidFill>
            <a:ln w="47520">
              <a:solidFill>
                <a:srgbClr val="f18f0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Summary'!$H$3:$H$14</c:f>
              <c:numCache>
                <c:formatCode>0.0%</c:formatCode>
                <c:ptCount val="12"/>
                <c:pt idx="0">
                  <c:v>0.251429233098325</c:v>
                </c:pt>
                <c:pt idx="1">
                  <c:v>0.293569848406793</c:v>
                </c:pt>
                <c:pt idx="2">
                  <c:v>0.15839846373179</c:v>
                </c:pt>
                <c:pt idx="3">
                  <c:v>0.299813412512907</c:v>
                </c:pt>
                <c:pt idx="4">
                  <c:v>0.301658684098426</c:v>
                </c:pt>
                <c:pt idx="5">
                  <c:v>0.266435757568449</c:v>
                </c:pt>
                <c:pt idx="6">
                  <c:v>0.274149456274603</c:v>
                </c:pt>
                <c:pt idx="7">
                  <c:v>0.221532367711712</c:v>
                </c:pt>
                <c:pt idx="8">
                  <c:v>0.222632815871517</c:v>
                </c:pt>
                <c:pt idx="9">
                  <c:v>0.15522647801015</c:v>
                </c:pt>
                <c:pt idx="10">
                  <c:v>0.275062439376165</c:v>
                </c:pt>
                <c:pt idx="11">
                  <c:v>0.267194256570536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612159"/>
        <c:axId val="10765971"/>
      </c:lineChart>
      <c:catAx>
        <c:axId val="2961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65971"/>
        <c:crosses val="autoZero"/>
        <c:auto val="1"/>
        <c:lblAlgn val="ctr"/>
        <c:lblOffset val="100"/>
        <c:noMultiLvlLbl val="0"/>
      </c:catAx>
      <c:valAx>
        <c:axId val="10765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612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'Regional Summary'!B2</c:f>
              <c:strCache>
                <c:ptCount val="1"/>
                <c:pt idx="0">
                  <c:v>Total Revenue (£)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'Regional Summary'!$A$3:$A$6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'Regional Summary'!$B$3:$B$6</c:f>
              <c:numCache>
                <c:formatCode>#,##0</c:formatCode>
                <c:ptCount val="4"/>
                <c:pt idx="0">
                  <c:v>513934.18</c:v>
                </c:pt>
                <c:pt idx="1">
                  <c:v>527833.46</c:v>
                </c:pt>
                <c:pt idx="2">
                  <c:v>570044.1</c:v>
                </c:pt>
                <c:pt idx="3">
                  <c:v>577279.73</c:v>
                </c:pt>
              </c:numCache>
            </c:numRef>
          </c:val>
        </c:ser>
        <c:gapWidth val="150"/>
        <c:overlap val="0"/>
        <c:axId val="15652867"/>
        <c:axId val="55662773"/>
      </c:barChart>
      <c:catAx>
        <c:axId val="156528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62773"/>
        <c:crosses val="autoZero"/>
        <c:auto val="1"/>
        <c:lblAlgn val="ctr"/>
        <c:lblOffset val="100"/>
        <c:noMultiLvlLbl val="0"/>
      </c:catAx>
      <c:valAx>
        <c:axId val="55662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(£)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52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'Product Summary'!$A$3:$A$7</c:f>
              <c:strCache>
                <c:ptCount val="5"/>
                <c:pt idx="0">
                  <c:v>CRM Software</c:v>
                </c:pt>
                <c:pt idx="1">
                  <c:v>Training Package</c:v>
                </c:pt>
                <c:pt idx="2">
                  <c:v>Consulting</c:v>
                </c:pt>
                <c:pt idx="3">
                  <c:v>Support Plan</c:v>
                </c:pt>
                <c:pt idx="4">
                  <c:v>Analytics Suite</c:v>
                </c:pt>
              </c:strCache>
            </c:strRef>
          </c:cat>
          <c:val>
            <c:numRef>
              <c:f>'Product Summary'!$C$3:$C$7</c:f>
              <c:numCache>
                <c:formatCode>#,##0</c:formatCode>
                <c:ptCount val="5"/>
                <c:pt idx="0">
                  <c:v>388974.12</c:v>
                </c:pt>
                <c:pt idx="1">
                  <c:v>196619.8</c:v>
                </c:pt>
                <c:pt idx="2">
                  <c:v>671262.73</c:v>
                </c:pt>
                <c:pt idx="3">
                  <c:v>156435.43</c:v>
                </c:pt>
                <c:pt idx="4">
                  <c:v>775799.39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10</xdr:col>
      <xdr:colOff>136080</xdr:colOff>
      <xdr:row>34</xdr:row>
      <xdr:rowOff>14400</xdr:rowOff>
    </xdr:to>
    <xdr:graphicFrame>
      <xdr:nvGraphicFramePr>
        <xdr:cNvPr id="0" name="Chart 1"/>
        <xdr:cNvGraphicFramePr/>
      </xdr:nvGraphicFramePr>
      <xdr:xfrm>
        <a:off x="0" y="26575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0</xdr:rowOff>
    </xdr:from>
    <xdr:to>
      <xdr:col>18</xdr:col>
      <xdr:colOff>599040</xdr:colOff>
      <xdr:row>34</xdr:row>
      <xdr:rowOff>14400</xdr:rowOff>
    </xdr:to>
    <xdr:graphicFrame>
      <xdr:nvGraphicFramePr>
        <xdr:cNvPr id="1" name="Chart 2"/>
        <xdr:cNvGraphicFramePr/>
      </xdr:nvGraphicFramePr>
      <xdr:xfrm>
        <a:off x="6977880" y="26575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7</xdr:col>
      <xdr:colOff>599040</xdr:colOff>
      <xdr:row>55</xdr:row>
      <xdr:rowOff>128520</xdr:rowOff>
    </xdr:to>
    <xdr:graphicFrame>
      <xdr:nvGraphicFramePr>
        <xdr:cNvPr id="2" name="Chart 3"/>
        <xdr:cNvGraphicFramePr/>
      </xdr:nvGraphicFramePr>
      <xdr:xfrm>
        <a:off x="0" y="67723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33</xdr:row>
      <xdr:rowOff>0</xdr:rowOff>
    </xdr:from>
    <xdr:to>
      <xdr:col>18</xdr:col>
      <xdr:colOff>599040</xdr:colOff>
      <xdr:row>55</xdr:row>
      <xdr:rowOff>128520</xdr:rowOff>
    </xdr:to>
    <xdr:graphicFrame>
      <xdr:nvGraphicFramePr>
        <xdr:cNvPr id="3" name="Chart 4"/>
        <xdr:cNvGraphicFramePr/>
      </xdr:nvGraphicFramePr>
      <xdr:xfrm>
        <a:off x="6977880" y="67723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0" width="9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9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customFormat="false" ht="9.7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6" hidden="false" customHeight="true" outlineLevel="0" collapsed="false">
      <c r="A6" s="5"/>
      <c r="B6" s="5"/>
      <c r="C6" s="5"/>
      <c r="D6" s="4"/>
      <c r="E6" s="6"/>
      <c r="F6" s="6"/>
      <c r="G6" s="6"/>
      <c r="H6" s="4"/>
      <c r="I6" s="7"/>
      <c r="J6" s="7"/>
      <c r="K6" s="7"/>
      <c r="L6" s="4"/>
      <c r="M6" s="8"/>
      <c r="N6" s="8"/>
      <c r="O6" s="8"/>
      <c r="P6" s="4"/>
      <c r="Q6" s="9"/>
      <c r="R6" s="9"/>
      <c r="S6" s="9"/>
      <c r="T6" s="4"/>
    </row>
    <row r="7" customFormat="false" ht="18" hidden="false" customHeight="true" outlineLevel="0" collapsed="false">
      <c r="A7" s="10" t="s">
        <v>2</v>
      </c>
      <c r="B7" s="10"/>
      <c r="C7" s="10"/>
      <c r="D7" s="4"/>
      <c r="E7" s="10" t="s">
        <v>3</v>
      </c>
      <c r="F7" s="10"/>
      <c r="G7" s="10"/>
      <c r="H7" s="4"/>
      <c r="I7" s="10" t="s">
        <v>4</v>
      </c>
      <c r="J7" s="10"/>
      <c r="K7" s="10"/>
      <c r="L7" s="4"/>
      <c r="M7" s="10" t="s">
        <v>5</v>
      </c>
      <c r="N7" s="10"/>
      <c r="O7" s="10"/>
      <c r="P7" s="4"/>
      <c r="Q7" s="10" t="s">
        <v>6</v>
      </c>
      <c r="R7" s="10"/>
      <c r="S7" s="10"/>
      <c r="T7" s="4"/>
    </row>
    <row r="8" customFormat="false" ht="27.75" hidden="false" customHeight="true" outlineLevel="0" collapsed="false">
      <c r="A8" s="11" t="n">
        <f aca="false">SUM('Monthly Summary'!B3:B14)</f>
        <v>2189091.47</v>
      </c>
      <c r="B8" s="11"/>
      <c r="C8" s="11"/>
      <c r="D8" s="4"/>
      <c r="E8" s="12" t="n">
        <f aca="false">SUM('Monthly Summary'!D3:D14)</f>
        <v>983874.81</v>
      </c>
      <c r="F8" s="12"/>
      <c r="G8" s="12"/>
      <c r="H8" s="4"/>
      <c r="I8" s="13" t="n">
        <f aca="false">AVERAGE('Monthly Summary'!E3:E14)</f>
        <v>0.449328306408624</v>
      </c>
      <c r="J8" s="13"/>
      <c r="K8" s="13"/>
      <c r="L8" s="4"/>
      <c r="M8" s="14" t="n">
        <f aca="false">SUM('Monthly Summary'!F3:F14)</f>
        <v>5386</v>
      </c>
      <c r="N8" s="14"/>
      <c r="O8" s="14"/>
      <c r="P8" s="4"/>
      <c r="Q8" s="15" t="n">
        <f aca="false">SUM('Monthly Summary'!G3:G14)</f>
        <v>1147</v>
      </c>
      <c r="R8" s="15"/>
      <c r="S8" s="15"/>
      <c r="T8" s="4"/>
    </row>
    <row r="9" customFormat="false" ht="27.75" hidden="false" customHeight="true" outlineLevel="0" collapsed="false">
      <c r="A9" s="11"/>
      <c r="B9" s="11"/>
      <c r="C9" s="11"/>
      <c r="D9" s="4"/>
      <c r="E9" s="12"/>
      <c r="F9" s="12"/>
      <c r="G9" s="12"/>
      <c r="H9" s="4"/>
      <c r="I9" s="13"/>
      <c r="J9" s="13"/>
      <c r="K9" s="13"/>
      <c r="L9" s="4"/>
      <c r="M9" s="14"/>
      <c r="N9" s="14"/>
      <c r="O9" s="14"/>
      <c r="P9" s="4"/>
      <c r="Q9" s="15"/>
      <c r="R9" s="15"/>
      <c r="S9" s="15"/>
      <c r="T9" s="4"/>
    </row>
    <row r="10" customFormat="false" ht="9.75" hidden="false" customHeight="true" outlineLevel="0" collapsed="false">
      <c r="A10" s="16"/>
      <c r="B10" s="16"/>
      <c r="C10" s="16"/>
      <c r="D10" s="4"/>
      <c r="E10" s="16"/>
      <c r="F10" s="16"/>
      <c r="G10" s="16"/>
      <c r="H10" s="4"/>
      <c r="I10" s="16"/>
      <c r="J10" s="16"/>
      <c r="K10" s="16"/>
      <c r="L10" s="4"/>
      <c r="M10" s="16"/>
      <c r="N10" s="16"/>
      <c r="O10" s="16"/>
      <c r="P10" s="4"/>
      <c r="Q10" s="16"/>
      <c r="R10" s="16"/>
      <c r="S10" s="16"/>
      <c r="T10" s="4"/>
    </row>
    <row r="11" customFormat="false" ht="9.7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customFormat="false" ht="24" hidden="false" customHeight="true" outlineLevel="0" collapsed="false">
      <c r="A12" s="17" t="s">
        <v>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customFormat="false" ht="24" hidden="false" customHeight="true" outlineLevel="0" collapsed="false">
      <c r="A33" s="17" t="s">
        <v>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</sheetData>
  <mergeCells count="14">
    <mergeCell ref="A2:T2"/>
    <mergeCell ref="A3:T3"/>
    <mergeCell ref="A7:C7"/>
    <mergeCell ref="E7:G7"/>
    <mergeCell ref="I7:K7"/>
    <mergeCell ref="M7:O7"/>
    <mergeCell ref="Q7:S7"/>
    <mergeCell ref="A8:C9"/>
    <mergeCell ref="E8:G9"/>
    <mergeCell ref="I8:K9"/>
    <mergeCell ref="M8:O9"/>
    <mergeCell ref="Q8:S9"/>
    <mergeCell ref="A12:T12"/>
    <mergeCell ref="A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30" hidden="false" customHeight="true" outlineLevel="0" collapsed="false">
      <c r="A1" s="18" t="s">
        <v>9</v>
      </c>
      <c r="B1" s="18" t="s">
        <v>10</v>
      </c>
      <c r="C1" s="18" t="s">
        <v>11</v>
      </c>
      <c r="D1" s="18" t="s">
        <v>12</v>
      </c>
      <c r="E1" s="18" t="s">
        <v>13</v>
      </c>
      <c r="F1" s="18" t="s">
        <v>14</v>
      </c>
      <c r="G1" s="18" t="s">
        <v>15</v>
      </c>
      <c r="H1" s="18" t="s">
        <v>16</v>
      </c>
      <c r="I1" s="18" t="s">
        <v>17</v>
      </c>
      <c r="J1" s="18" t="s">
        <v>18</v>
      </c>
      <c r="K1" s="18" t="s">
        <v>19</v>
      </c>
      <c r="L1" s="18" t="s">
        <v>20</v>
      </c>
      <c r="M1" s="18" t="s">
        <v>21</v>
      </c>
      <c r="N1" s="18" t="s">
        <v>22</v>
      </c>
    </row>
    <row r="2" customFormat="false" ht="15" hidden="false" customHeight="false" outlineLevel="0" collapsed="false">
      <c r="A2" s="19" t="s">
        <v>23</v>
      </c>
      <c r="B2" s="19" t="s">
        <v>24</v>
      </c>
      <c r="C2" s="19" t="s">
        <v>25</v>
      </c>
      <c r="D2" s="19" t="s">
        <v>26</v>
      </c>
      <c r="E2" s="19" t="s">
        <v>27</v>
      </c>
      <c r="F2" s="19" t="n">
        <v>9</v>
      </c>
      <c r="G2" s="20" t="n">
        <v>2292.41</v>
      </c>
      <c r="H2" s="20" t="n">
        <v>20631.67</v>
      </c>
      <c r="I2" s="20" t="n">
        <v>12323.18</v>
      </c>
      <c r="J2" s="20" t="n">
        <v>8308.49</v>
      </c>
      <c r="K2" s="21" t="n">
        <v>0.402705757167198</v>
      </c>
      <c r="L2" s="19" t="n">
        <v>58</v>
      </c>
      <c r="M2" s="19" t="n">
        <v>10</v>
      </c>
      <c r="N2" s="21" t="n">
        <v>0.172413793103448</v>
      </c>
    </row>
    <row r="3" customFormat="false" ht="15" hidden="false" customHeight="false" outlineLevel="0" collapsed="false">
      <c r="A3" s="19" t="s">
        <v>23</v>
      </c>
      <c r="B3" s="19" t="s">
        <v>24</v>
      </c>
      <c r="C3" s="19" t="s">
        <v>25</v>
      </c>
      <c r="D3" s="19" t="s">
        <v>28</v>
      </c>
      <c r="E3" s="19" t="s">
        <v>29</v>
      </c>
      <c r="F3" s="19" t="n">
        <v>20</v>
      </c>
      <c r="G3" s="20" t="n">
        <v>1171.89</v>
      </c>
      <c r="H3" s="20" t="n">
        <v>23437.84</v>
      </c>
      <c r="I3" s="20" t="n">
        <v>10686.7</v>
      </c>
      <c r="J3" s="20" t="n">
        <v>12751.13</v>
      </c>
      <c r="K3" s="21" t="n">
        <v>0.544040556112386</v>
      </c>
      <c r="L3" s="19" t="n">
        <v>28</v>
      </c>
      <c r="M3" s="19" t="n">
        <v>9</v>
      </c>
      <c r="N3" s="21" t="n">
        <v>0.321428571428572</v>
      </c>
    </row>
    <row r="4" customFormat="false" ht="15" hidden="false" customHeight="false" outlineLevel="0" collapsed="false">
      <c r="A4" s="19" t="s">
        <v>23</v>
      </c>
      <c r="B4" s="19" t="s">
        <v>24</v>
      </c>
      <c r="C4" s="19" t="s">
        <v>25</v>
      </c>
      <c r="D4" s="19" t="s">
        <v>30</v>
      </c>
      <c r="E4" s="19" t="s">
        <v>31</v>
      </c>
      <c r="F4" s="19" t="n">
        <v>2</v>
      </c>
      <c r="G4" s="20" t="n">
        <v>1833.07</v>
      </c>
      <c r="H4" s="20" t="n">
        <v>3666.14</v>
      </c>
      <c r="I4" s="20" t="n">
        <v>2174.77</v>
      </c>
      <c r="J4" s="20" t="n">
        <v>1491.37</v>
      </c>
      <c r="K4" s="21" t="n">
        <v>0.406796077415519</v>
      </c>
      <c r="L4" s="19" t="n">
        <v>59</v>
      </c>
      <c r="M4" s="19" t="n">
        <v>5</v>
      </c>
      <c r="N4" s="21" t="n">
        <v>0.0847457627118644</v>
      </c>
    </row>
    <row r="5" customFormat="false" ht="15" hidden="false" customHeight="false" outlineLevel="0" collapsed="false">
      <c r="A5" s="19" t="s">
        <v>23</v>
      </c>
      <c r="B5" s="19" t="s">
        <v>24</v>
      </c>
      <c r="C5" s="19" t="s">
        <v>32</v>
      </c>
      <c r="D5" s="19" t="s">
        <v>33</v>
      </c>
      <c r="E5" s="19" t="s">
        <v>27</v>
      </c>
      <c r="F5" s="19" t="n">
        <v>2</v>
      </c>
      <c r="G5" s="20" t="n">
        <v>2694.11</v>
      </c>
      <c r="H5" s="20" t="n">
        <v>5388.21</v>
      </c>
      <c r="I5" s="20" t="n">
        <v>2596.75</v>
      </c>
      <c r="J5" s="20" t="n">
        <v>2791.46</v>
      </c>
      <c r="K5" s="21" t="n">
        <v>0.518068136724622</v>
      </c>
      <c r="L5" s="19" t="n">
        <v>42</v>
      </c>
      <c r="M5" s="19" t="n">
        <v>4</v>
      </c>
      <c r="N5" s="21" t="n">
        <v>0.0952380952380952</v>
      </c>
    </row>
    <row r="6" customFormat="false" ht="15" hidden="false" customHeight="false" outlineLevel="0" collapsed="false">
      <c r="A6" s="19" t="s">
        <v>23</v>
      </c>
      <c r="B6" s="19" t="s">
        <v>24</v>
      </c>
      <c r="C6" s="19" t="s">
        <v>32</v>
      </c>
      <c r="D6" s="19" t="s">
        <v>34</v>
      </c>
      <c r="E6" s="19" t="s">
        <v>27</v>
      </c>
      <c r="F6" s="19" t="n">
        <v>6</v>
      </c>
      <c r="G6" s="20" t="n">
        <v>2286.49</v>
      </c>
      <c r="H6" s="20" t="n">
        <v>13718.91</v>
      </c>
      <c r="I6" s="20" t="n">
        <v>8268.37</v>
      </c>
      <c r="J6" s="20" t="n">
        <v>5450.54</v>
      </c>
      <c r="K6" s="21" t="n">
        <v>0.397301174198695</v>
      </c>
      <c r="L6" s="19" t="n">
        <v>21</v>
      </c>
      <c r="M6" s="19" t="n">
        <v>3</v>
      </c>
      <c r="N6" s="21" t="n">
        <v>0.142857142857143</v>
      </c>
    </row>
    <row r="7" customFormat="false" ht="15" hidden="false" customHeight="false" outlineLevel="0" collapsed="false">
      <c r="A7" s="19" t="s">
        <v>23</v>
      </c>
      <c r="B7" s="19" t="s">
        <v>24</v>
      </c>
      <c r="C7" s="19" t="s">
        <v>32</v>
      </c>
      <c r="D7" s="19" t="s">
        <v>35</v>
      </c>
      <c r="E7" s="19" t="s">
        <v>36</v>
      </c>
      <c r="F7" s="19" t="n">
        <v>5</v>
      </c>
      <c r="G7" s="20" t="n">
        <v>383.08</v>
      </c>
      <c r="H7" s="20" t="n">
        <v>1915.39</v>
      </c>
      <c r="I7" s="20" t="n">
        <v>993.69</v>
      </c>
      <c r="J7" s="20" t="n">
        <v>921.7</v>
      </c>
      <c r="K7" s="21" t="n">
        <v>0.481208855504206</v>
      </c>
      <c r="L7" s="19" t="n">
        <v>31</v>
      </c>
      <c r="M7" s="19" t="n">
        <v>8</v>
      </c>
      <c r="N7" s="21" t="n">
        <v>0.258064516129032</v>
      </c>
    </row>
    <row r="8" customFormat="false" ht="15" hidden="false" customHeight="false" outlineLevel="0" collapsed="false">
      <c r="A8" s="19" t="s">
        <v>23</v>
      </c>
      <c r="B8" s="19" t="s">
        <v>24</v>
      </c>
      <c r="C8" s="19" t="s">
        <v>37</v>
      </c>
      <c r="D8" s="19" t="s">
        <v>28</v>
      </c>
      <c r="E8" s="19" t="s">
        <v>31</v>
      </c>
      <c r="F8" s="19" t="n">
        <v>5</v>
      </c>
      <c r="G8" s="20" t="n">
        <v>2055.48</v>
      </c>
      <c r="H8" s="20" t="n">
        <v>10277.41</v>
      </c>
      <c r="I8" s="20" t="n">
        <v>5402.91</v>
      </c>
      <c r="J8" s="20" t="n">
        <v>4874.51</v>
      </c>
      <c r="K8" s="21" t="n">
        <v>0.474293124558329</v>
      </c>
      <c r="L8" s="19" t="n">
        <v>50</v>
      </c>
      <c r="M8" s="19" t="n">
        <v>4</v>
      </c>
      <c r="N8" s="21" t="n">
        <v>0.08</v>
      </c>
    </row>
    <row r="9" customFormat="false" ht="15" hidden="false" customHeight="false" outlineLevel="0" collapsed="false">
      <c r="A9" s="19" t="s">
        <v>23</v>
      </c>
      <c r="B9" s="19" t="s">
        <v>24</v>
      </c>
      <c r="C9" s="19" t="s">
        <v>37</v>
      </c>
      <c r="D9" s="19" t="s">
        <v>30</v>
      </c>
      <c r="E9" s="19" t="s">
        <v>31</v>
      </c>
      <c r="F9" s="19" t="n">
        <v>13</v>
      </c>
      <c r="G9" s="20" t="n">
        <v>1841.77</v>
      </c>
      <c r="H9" s="20" t="n">
        <v>23943.01</v>
      </c>
      <c r="I9" s="20" t="n">
        <v>14148.27</v>
      </c>
      <c r="J9" s="20" t="n">
        <v>9794.74</v>
      </c>
      <c r="K9" s="21" t="n">
        <v>0.409085632757015</v>
      </c>
      <c r="L9" s="19" t="n">
        <v>17</v>
      </c>
      <c r="M9" s="19" t="n">
        <v>12</v>
      </c>
      <c r="N9" s="21" t="n">
        <v>0.705882352941177</v>
      </c>
    </row>
    <row r="10" customFormat="false" ht="15" hidden="false" customHeight="false" outlineLevel="0" collapsed="false">
      <c r="A10" s="19" t="s">
        <v>23</v>
      </c>
      <c r="B10" s="19" t="s">
        <v>24</v>
      </c>
      <c r="C10" s="19" t="s">
        <v>37</v>
      </c>
      <c r="D10" s="19" t="s">
        <v>33</v>
      </c>
      <c r="E10" s="19" t="s">
        <v>38</v>
      </c>
      <c r="F10" s="19" t="n">
        <v>11</v>
      </c>
      <c r="G10" s="20" t="n">
        <v>973.73</v>
      </c>
      <c r="H10" s="20" t="n">
        <v>10711.05</v>
      </c>
      <c r="I10" s="20" t="n">
        <v>6652.24</v>
      </c>
      <c r="J10" s="20" t="n">
        <v>4058.81</v>
      </c>
      <c r="K10" s="21" t="n">
        <v>0.378936455796971</v>
      </c>
      <c r="L10" s="19" t="n">
        <v>21</v>
      </c>
      <c r="M10" s="19" t="n">
        <v>8</v>
      </c>
      <c r="N10" s="21" t="n">
        <v>0.380952380952381</v>
      </c>
    </row>
    <row r="11" customFormat="false" ht="15" hidden="false" customHeight="false" outlineLevel="0" collapsed="false">
      <c r="A11" s="19" t="s">
        <v>23</v>
      </c>
      <c r="B11" s="19" t="s">
        <v>24</v>
      </c>
      <c r="C11" s="19" t="s">
        <v>39</v>
      </c>
      <c r="D11" s="19" t="s">
        <v>35</v>
      </c>
      <c r="E11" s="19" t="s">
        <v>27</v>
      </c>
      <c r="F11" s="19" t="n">
        <v>7</v>
      </c>
      <c r="G11" s="20" t="n">
        <v>2402.64</v>
      </c>
      <c r="H11" s="20" t="n">
        <v>16818.45</v>
      </c>
      <c r="I11" s="20" t="n">
        <v>8273.02</v>
      </c>
      <c r="J11" s="20" t="n">
        <v>8545.43</v>
      </c>
      <c r="K11" s="21" t="n">
        <v>0.508098593845702</v>
      </c>
      <c r="L11" s="19" t="n">
        <v>32</v>
      </c>
      <c r="M11" s="19" t="n">
        <v>3</v>
      </c>
      <c r="N11" s="21" t="n">
        <v>0.09375</v>
      </c>
    </row>
    <row r="12" customFormat="false" ht="15" hidden="false" customHeight="false" outlineLevel="0" collapsed="false">
      <c r="A12" s="19" t="s">
        <v>23</v>
      </c>
      <c r="B12" s="19" t="s">
        <v>24</v>
      </c>
      <c r="C12" s="19" t="s">
        <v>39</v>
      </c>
      <c r="D12" s="19" t="s">
        <v>33</v>
      </c>
      <c r="E12" s="19" t="s">
        <v>31</v>
      </c>
      <c r="F12" s="19" t="n">
        <v>7</v>
      </c>
      <c r="G12" s="20" t="n">
        <v>1818.44</v>
      </c>
      <c r="H12" s="20" t="n">
        <v>12729.05</v>
      </c>
      <c r="I12" s="20" t="n">
        <v>6351.31</v>
      </c>
      <c r="J12" s="20" t="n">
        <v>6377.73</v>
      </c>
      <c r="K12" s="21" t="n">
        <v>0.501037814969715</v>
      </c>
      <c r="L12" s="19" t="n">
        <v>44</v>
      </c>
      <c r="M12" s="19" t="n">
        <v>8</v>
      </c>
      <c r="N12" s="21" t="n">
        <v>0.181818181818182</v>
      </c>
    </row>
    <row r="13" customFormat="false" ht="15" hidden="false" customHeight="false" outlineLevel="0" collapsed="false">
      <c r="A13" s="19" t="s">
        <v>23</v>
      </c>
      <c r="B13" s="19" t="s">
        <v>24</v>
      </c>
      <c r="C13" s="19" t="s">
        <v>39</v>
      </c>
      <c r="D13" s="19" t="s">
        <v>30</v>
      </c>
      <c r="E13" s="19" t="s">
        <v>27</v>
      </c>
      <c r="F13" s="19" t="n">
        <v>19</v>
      </c>
      <c r="G13" s="20" t="n">
        <v>2289.71</v>
      </c>
      <c r="H13" s="20" t="n">
        <v>43504.52</v>
      </c>
      <c r="I13" s="20" t="n">
        <v>22398.58</v>
      </c>
      <c r="J13" s="20" t="n">
        <v>21105.93</v>
      </c>
      <c r="K13" s="21" t="n">
        <v>0.485143453116936</v>
      </c>
      <c r="L13" s="19" t="n">
        <v>18</v>
      </c>
      <c r="M13" s="19" t="n">
        <v>9</v>
      </c>
      <c r="N13" s="21" t="n">
        <v>0.5</v>
      </c>
    </row>
    <row r="14" customFormat="false" ht="15" hidden="false" customHeight="false" outlineLevel="0" collapsed="false">
      <c r="A14" s="19" t="s">
        <v>40</v>
      </c>
      <c r="B14" s="19" t="s">
        <v>24</v>
      </c>
      <c r="C14" s="19" t="s">
        <v>25</v>
      </c>
      <c r="D14" s="19" t="s">
        <v>28</v>
      </c>
      <c r="E14" s="19" t="s">
        <v>36</v>
      </c>
      <c r="F14" s="19" t="n">
        <v>10</v>
      </c>
      <c r="G14" s="20" t="n">
        <v>347.94</v>
      </c>
      <c r="H14" s="20" t="n">
        <v>3479.43</v>
      </c>
      <c r="I14" s="20" t="n">
        <v>2201.18</v>
      </c>
      <c r="J14" s="20" t="n">
        <v>1278.25</v>
      </c>
      <c r="K14" s="21" t="n">
        <v>0.367372775162891</v>
      </c>
      <c r="L14" s="19" t="n">
        <v>51</v>
      </c>
      <c r="M14" s="19" t="n">
        <v>13</v>
      </c>
      <c r="N14" s="21" t="n">
        <v>0.254901960784314</v>
      </c>
    </row>
    <row r="15" customFormat="false" ht="15" hidden="false" customHeight="false" outlineLevel="0" collapsed="false">
      <c r="A15" s="19" t="s">
        <v>40</v>
      </c>
      <c r="B15" s="19" t="s">
        <v>24</v>
      </c>
      <c r="C15" s="19" t="s">
        <v>25</v>
      </c>
      <c r="D15" s="19" t="s">
        <v>41</v>
      </c>
      <c r="E15" s="19" t="s">
        <v>27</v>
      </c>
      <c r="F15" s="19" t="n">
        <v>8</v>
      </c>
      <c r="G15" s="20" t="n">
        <v>2616.58</v>
      </c>
      <c r="H15" s="20" t="n">
        <v>20932.63</v>
      </c>
      <c r="I15" s="20" t="n">
        <v>11076.01</v>
      </c>
      <c r="J15" s="20" t="n">
        <v>9856.62</v>
      </c>
      <c r="K15" s="21" t="n">
        <v>0.470873619787867</v>
      </c>
      <c r="L15" s="19" t="n">
        <v>56</v>
      </c>
      <c r="M15" s="19" t="n">
        <v>9</v>
      </c>
      <c r="N15" s="21" t="n">
        <v>0.160714285714286</v>
      </c>
    </row>
    <row r="16" customFormat="false" ht="15" hidden="false" customHeight="false" outlineLevel="0" collapsed="false">
      <c r="A16" s="19" t="s">
        <v>40</v>
      </c>
      <c r="B16" s="19" t="s">
        <v>24</v>
      </c>
      <c r="C16" s="19" t="s">
        <v>25</v>
      </c>
      <c r="D16" s="19" t="s">
        <v>42</v>
      </c>
      <c r="E16" s="19" t="s">
        <v>38</v>
      </c>
      <c r="F16" s="19" t="n">
        <v>10</v>
      </c>
      <c r="G16" s="20" t="n">
        <v>758.11</v>
      </c>
      <c r="H16" s="20" t="n">
        <v>7581.06</v>
      </c>
      <c r="I16" s="20" t="n">
        <v>4541.04</v>
      </c>
      <c r="J16" s="20" t="n">
        <v>3040.02</v>
      </c>
      <c r="K16" s="21" t="n">
        <v>0.401002203581679</v>
      </c>
      <c r="L16" s="19" t="n">
        <v>49</v>
      </c>
      <c r="M16" s="19" t="n">
        <v>6</v>
      </c>
      <c r="N16" s="21" t="n">
        <v>0.122448979591837</v>
      </c>
    </row>
    <row r="17" customFormat="false" ht="15" hidden="false" customHeight="false" outlineLevel="0" collapsed="false">
      <c r="A17" s="19" t="s">
        <v>40</v>
      </c>
      <c r="B17" s="19" t="s">
        <v>24</v>
      </c>
      <c r="C17" s="19" t="s">
        <v>32</v>
      </c>
      <c r="D17" s="19" t="s">
        <v>41</v>
      </c>
      <c r="E17" s="19" t="s">
        <v>27</v>
      </c>
      <c r="F17" s="19" t="n">
        <v>9</v>
      </c>
      <c r="G17" s="20" t="n">
        <v>2872.99</v>
      </c>
      <c r="H17" s="20" t="n">
        <v>25856.95</v>
      </c>
      <c r="I17" s="20" t="n">
        <v>12350.99</v>
      </c>
      <c r="J17" s="20" t="n">
        <v>13505.95</v>
      </c>
      <c r="K17" s="21" t="n">
        <v>0.522333651021829</v>
      </c>
      <c r="L17" s="19" t="n">
        <v>46</v>
      </c>
      <c r="M17" s="19" t="n">
        <v>3</v>
      </c>
      <c r="N17" s="21" t="n">
        <v>0.0652173913043478</v>
      </c>
    </row>
    <row r="18" customFormat="false" ht="15" hidden="false" customHeight="false" outlineLevel="0" collapsed="false">
      <c r="A18" s="19" t="s">
        <v>40</v>
      </c>
      <c r="B18" s="19" t="s">
        <v>24</v>
      </c>
      <c r="C18" s="19" t="s">
        <v>32</v>
      </c>
      <c r="D18" s="19" t="s">
        <v>35</v>
      </c>
      <c r="E18" s="19" t="s">
        <v>29</v>
      </c>
      <c r="F18" s="19" t="n">
        <v>5</v>
      </c>
      <c r="G18" s="20" t="n">
        <v>1075.02</v>
      </c>
      <c r="H18" s="20" t="n">
        <v>5375.11</v>
      </c>
      <c r="I18" s="20" t="n">
        <v>2590.79</v>
      </c>
      <c r="J18" s="20" t="n">
        <v>2784.33</v>
      </c>
      <c r="K18" s="21" t="n">
        <v>0.51800359965551</v>
      </c>
      <c r="L18" s="19" t="n">
        <v>58</v>
      </c>
      <c r="M18" s="19" t="n">
        <v>5</v>
      </c>
      <c r="N18" s="21" t="n">
        <v>0.0862068965517241</v>
      </c>
    </row>
    <row r="19" customFormat="false" ht="15" hidden="false" customHeight="false" outlineLevel="0" collapsed="false">
      <c r="A19" s="19" t="s">
        <v>40</v>
      </c>
      <c r="B19" s="19" t="s">
        <v>24</v>
      </c>
      <c r="C19" s="19" t="s">
        <v>32</v>
      </c>
      <c r="D19" s="19" t="s">
        <v>33</v>
      </c>
      <c r="E19" s="19" t="s">
        <v>31</v>
      </c>
      <c r="F19" s="19" t="n">
        <v>4</v>
      </c>
      <c r="G19" s="20" t="n">
        <v>1737.77</v>
      </c>
      <c r="H19" s="20" t="n">
        <v>6951.1</v>
      </c>
      <c r="I19" s="20" t="n">
        <v>3956.41</v>
      </c>
      <c r="J19" s="20" t="n">
        <v>2994.69</v>
      </c>
      <c r="K19" s="21" t="n">
        <v>0.430822314327774</v>
      </c>
      <c r="L19" s="19" t="n">
        <v>44</v>
      </c>
      <c r="M19" s="19" t="n">
        <v>6</v>
      </c>
      <c r="N19" s="21" t="n">
        <v>0.136363636363636</v>
      </c>
    </row>
    <row r="20" customFormat="false" ht="15" hidden="false" customHeight="false" outlineLevel="0" collapsed="false">
      <c r="A20" s="19" t="s">
        <v>40</v>
      </c>
      <c r="B20" s="19" t="s">
        <v>24</v>
      </c>
      <c r="C20" s="19" t="s">
        <v>37</v>
      </c>
      <c r="D20" s="19" t="s">
        <v>35</v>
      </c>
      <c r="E20" s="19" t="s">
        <v>29</v>
      </c>
      <c r="F20" s="19" t="n">
        <v>19</v>
      </c>
      <c r="G20" s="20" t="n">
        <v>1290.32</v>
      </c>
      <c r="H20" s="20" t="n">
        <v>24516</v>
      </c>
      <c r="I20" s="20" t="n">
        <v>14800.8</v>
      </c>
      <c r="J20" s="20" t="n">
        <v>9715.21</v>
      </c>
      <c r="K20" s="21" t="n">
        <v>0.396280253468511</v>
      </c>
      <c r="L20" s="19" t="n">
        <v>36</v>
      </c>
      <c r="M20" s="19" t="n">
        <v>5</v>
      </c>
      <c r="N20" s="21" t="n">
        <v>0.138888888888889</v>
      </c>
    </row>
    <row r="21" customFormat="false" ht="15" hidden="false" customHeight="false" outlineLevel="0" collapsed="false">
      <c r="A21" s="19" t="s">
        <v>40</v>
      </c>
      <c r="B21" s="19" t="s">
        <v>24</v>
      </c>
      <c r="C21" s="19" t="s">
        <v>37</v>
      </c>
      <c r="D21" s="19" t="s">
        <v>34</v>
      </c>
      <c r="E21" s="19" t="s">
        <v>27</v>
      </c>
      <c r="F21" s="19" t="n">
        <v>15</v>
      </c>
      <c r="G21" s="20" t="n">
        <v>2243.62</v>
      </c>
      <c r="H21" s="20" t="n">
        <v>33654.27</v>
      </c>
      <c r="I21" s="20" t="n">
        <v>15166.27</v>
      </c>
      <c r="J21" s="20" t="n">
        <v>18488.01</v>
      </c>
      <c r="K21" s="21" t="n">
        <v>0.549350936779654</v>
      </c>
      <c r="L21" s="19" t="n">
        <v>31</v>
      </c>
      <c r="M21" s="19" t="n">
        <v>18</v>
      </c>
      <c r="N21" s="21" t="n">
        <v>0.580645161290323</v>
      </c>
    </row>
    <row r="22" customFormat="false" ht="15" hidden="false" customHeight="false" outlineLevel="0" collapsed="false">
      <c r="A22" s="19" t="s">
        <v>40</v>
      </c>
      <c r="B22" s="19" t="s">
        <v>24</v>
      </c>
      <c r="C22" s="19" t="s">
        <v>37</v>
      </c>
      <c r="D22" s="19" t="s">
        <v>28</v>
      </c>
      <c r="E22" s="19" t="s">
        <v>38</v>
      </c>
      <c r="F22" s="19" t="n">
        <v>18</v>
      </c>
      <c r="G22" s="20" t="n">
        <v>955.22</v>
      </c>
      <c r="H22" s="20" t="n">
        <v>17193.96</v>
      </c>
      <c r="I22" s="20" t="n">
        <v>10730.82</v>
      </c>
      <c r="J22" s="20" t="n">
        <v>6463.15</v>
      </c>
      <c r="K22" s="21" t="n">
        <v>0.375896286032647</v>
      </c>
      <c r="L22" s="19" t="n">
        <v>34</v>
      </c>
      <c r="M22" s="19" t="n">
        <v>18</v>
      </c>
      <c r="N22" s="21" t="n">
        <v>0.529411764705882</v>
      </c>
    </row>
    <row r="23" customFormat="false" ht="15" hidden="false" customHeight="false" outlineLevel="0" collapsed="false">
      <c r="A23" s="19" t="s">
        <v>40</v>
      </c>
      <c r="B23" s="19" t="s">
        <v>24</v>
      </c>
      <c r="C23" s="19" t="s">
        <v>39</v>
      </c>
      <c r="D23" s="19" t="s">
        <v>33</v>
      </c>
      <c r="E23" s="19" t="s">
        <v>38</v>
      </c>
      <c r="F23" s="19" t="n">
        <v>19</v>
      </c>
      <c r="G23" s="20" t="n">
        <v>965.64</v>
      </c>
      <c r="H23" s="20" t="n">
        <v>18347.21</v>
      </c>
      <c r="I23" s="20" t="n">
        <v>11641.06</v>
      </c>
      <c r="J23" s="20" t="n">
        <v>6706.15</v>
      </c>
      <c r="K23" s="21" t="n">
        <v>0.365513183876345</v>
      </c>
      <c r="L23" s="19" t="n">
        <v>15</v>
      </c>
      <c r="M23" s="19" t="n">
        <v>11</v>
      </c>
      <c r="N23" s="21" t="n">
        <v>0.733333333333333</v>
      </c>
    </row>
    <row r="24" customFormat="false" ht="15" hidden="false" customHeight="false" outlineLevel="0" collapsed="false">
      <c r="A24" s="19" t="s">
        <v>40</v>
      </c>
      <c r="B24" s="19" t="s">
        <v>24</v>
      </c>
      <c r="C24" s="19" t="s">
        <v>39</v>
      </c>
      <c r="D24" s="19" t="s">
        <v>26</v>
      </c>
      <c r="E24" s="19" t="s">
        <v>27</v>
      </c>
      <c r="F24" s="19" t="n">
        <v>17</v>
      </c>
      <c r="G24" s="20" t="n">
        <v>2139.61</v>
      </c>
      <c r="H24" s="20" t="n">
        <v>36373.33</v>
      </c>
      <c r="I24" s="20" t="n">
        <v>23126.88</v>
      </c>
      <c r="J24" s="20" t="n">
        <v>13246.45</v>
      </c>
      <c r="K24" s="21" t="n">
        <v>0.364180276747077</v>
      </c>
      <c r="L24" s="19" t="n">
        <v>34</v>
      </c>
      <c r="M24" s="19" t="n">
        <v>9</v>
      </c>
      <c r="N24" s="21" t="n">
        <v>0.264705882352941</v>
      </c>
    </row>
    <row r="25" customFormat="false" ht="15" hidden="false" customHeight="false" outlineLevel="0" collapsed="false">
      <c r="A25" s="19" t="s">
        <v>40</v>
      </c>
      <c r="B25" s="19" t="s">
        <v>24</v>
      </c>
      <c r="C25" s="19" t="s">
        <v>39</v>
      </c>
      <c r="D25" s="19" t="s">
        <v>42</v>
      </c>
      <c r="E25" s="19" t="s">
        <v>29</v>
      </c>
      <c r="F25" s="19" t="n">
        <v>9</v>
      </c>
      <c r="G25" s="20" t="n">
        <v>1336.08</v>
      </c>
      <c r="H25" s="20" t="n">
        <v>12024.75</v>
      </c>
      <c r="I25" s="20" t="n">
        <v>7688.5</v>
      </c>
      <c r="J25" s="20" t="n">
        <v>4336.25</v>
      </c>
      <c r="K25" s="21" t="n">
        <v>0.360610110940401</v>
      </c>
      <c r="L25" s="19" t="n">
        <v>20</v>
      </c>
      <c r="M25" s="19" t="n">
        <v>9</v>
      </c>
      <c r="N25" s="21" t="n">
        <v>0.45</v>
      </c>
    </row>
    <row r="26" customFormat="false" ht="15" hidden="false" customHeight="false" outlineLevel="0" collapsed="false">
      <c r="A26" s="19" t="s">
        <v>43</v>
      </c>
      <c r="B26" s="19" t="s">
        <v>24</v>
      </c>
      <c r="C26" s="19" t="s">
        <v>25</v>
      </c>
      <c r="D26" s="19" t="s">
        <v>26</v>
      </c>
      <c r="E26" s="19" t="s">
        <v>38</v>
      </c>
      <c r="F26" s="19" t="n">
        <v>6</v>
      </c>
      <c r="G26" s="20" t="n">
        <v>890.74</v>
      </c>
      <c r="H26" s="20" t="n">
        <v>5344.42</v>
      </c>
      <c r="I26" s="20" t="n">
        <v>3417.06</v>
      </c>
      <c r="J26" s="20" t="n">
        <v>1927.36</v>
      </c>
      <c r="K26" s="21" t="n">
        <v>0.360630264059002</v>
      </c>
      <c r="L26" s="19" t="n">
        <v>25</v>
      </c>
      <c r="M26" s="19" t="n">
        <v>6</v>
      </c>
      <c r="N26" s="21" t="n">
        <v>0.24</v>
      </c>
    </row>
    <row r="27" customFormat="false" ht="15" hidden="false" customHeight="false" outlineLevel="0" collapsed="false">
      <c r="A27" s="19" t="s">
        <v>43</v>
      </c>
      <c r="B27" s="19" t="s">
        <v>24</v>
      </c>
      <c r="C27" s="19" t="s">
        <v>25</v>
      </c>
      <c r="D27" s="19" t="s">
        <v>41</v>
      </c>
      <c r="E27" s="19" t="s">
        <v>31</v>
      </c>
      <c r="F27" s="19" t="n">
        <v>15</v>
      </c>
      <c r="G27" s="20" t="n">
        <v>2050.76</v>
      </c>
      <c r="H27" s="20" t="n">
        <v>30761.34</v>
      </c>
      <c r="I27" s="20" t="n">
        <v>19557.53</v>
      </c>
      <c r="J27" s="20" t="n">
        <v>11203.81</v>
      </c>
      <c r="K27" s="21" t="n">
        <v>0.364217301399565</v>
      </c>
      <c r="L27" s="19" t="n">
        <v>59</v>
      </c>
      <c r="M27" s="19" t="n">
        <v>8</v>
      </c>
      <c r="N27" s="21" t="n">
        <v>0.135593220338983</v>
      </c>
    </row>
    <row r="28" customFormat="false" ht="15" hidden="false" customHeight="false" outlineLevel="0" collapsed="false">
      <c r="A28" s="19" t="s">
        <v>43</v>
      </c>
      <c r="B28" s="19" t="s">
        <v>24</v>
      </c>
      <c r="C28" s="19" t="s">
        <v>25</v>
      </c>
      <c r="D28" s="19" t="s">
        <v>35</v>
      </c>
      <c r="E28" s="19" t="s">
        <v>27</v>
      </c>
      <c r="F28" s="19" t="n">
        <v>14</v>
      </c>
      <c r="G28" s="20" t="n">
        <v>2871.36</v>
      </c>
      <c r="H28" s="20" t="n">
        <v>40199.07</v>
      </c>
      <c r="I28" s="20" t="n">
        <v>23314.48</v>
      </c>
      <c r="J28" s="20" t="n">
        <v>16884.59</v>
      </c>
      <c r="K28" s="21" t="n">
        <v>0.420024388472109</v>
      </c>
      <c r="L28" s="19" t="n">
        <v>43</v>
      </c>
      <c r="M28" s="19" t="n">
        <v>16</v>
      </c>
      <c r="N28" s="21" t="n">
        <v>0.372093023255814</v>
      </c>
    </row>
    <row r="29" customFormat="false" ht="15" hidden="false" customHeight="false" outlineLevel="0" collapsed="false">
      <c r="A29" s="19" t="s">
        <v>43</v>
      </c>
      <c r="B29" s="19" t="s">
        <v>24</v>
      </c>
      <c r="C29" s="19" t="s">
        <v>32</v>
      </c>
      <c r="D29" s="19" t="s">
        <v>26</v>
      </c>
      <c r="E29" s="19" t="s">
        <v>29</v>
      </c>
      <c r="F29" s="19" t="n">
        <v>12</v>
      </c>
      <c r="G29" s="20" t="n">
        <v>1027.57</v>
      </c>
      <c r="H29" s="20" t="n">
        <v>12330.87</v>
      </c>
      <c r="I29" s="20" t="n">
        <v>6914.96</v>
      </c>
      <c r="J29" s="20" t="n">
        <v>5415.91</v>
      </c>
      <c r="K29" s="21" t="n">
        <v>0.439215695515104</v>
      </c>
      <c r="L29" s="19" t="n">
        <v>52</v>
      </c>
      <c r="M29" s="19" t="n">
        <v>5</v>
      </c>
      <c r="N29" s="21" t="n">
        <v>0.0961538461538462</v>
      </c>
    </row>
    <row r="30" customFormat="false" ht="15" hidden="false" customHeight="false" outlineLevel="0" collapsed="false">
      <c r="A30" s="19" t="s">
        <v>43</v>
      </c>
      <c r="B30" s="19" t="s">
        <v>24</v>
      </c>
      <c r="C30" s="19" t="s">
        <v>32</v>
      </c>
      <c r="D30" s="19" t="s">
        <v>34</v>
      </c>
      <c r="E30" s="19" t="s">
        <v>29</v>
      </c>
      <c r="F30" s="19" t="n">
        <v>4</v>
      </c>
      <c r="G30" s="20" t="n">
        <v>1274.82</v>
      </c>
      <c r="H30" s="20" t="n">
        <v>5099.29</v>
      </c>
      <c r="I30" s="20" t="n">
        <v>2354.72</v>
      </c>
      <c r="J30" s="20" t="n">
        <v>2744.57</v>
      </c>
      <c r="K30" s="21" t="n">
        <v>0.538225246624735</v>
      </c>
      <c r="L30" s="19" t="n">
        <v>19</v>
      </c>
      <c r="M30" s="19" t="n">
        <v>2</v>
      </c>
      <c r="N30" s="21" t="n">
        <v>0.105263157894737</v>
      </c>
    </row>
    <row r="31" customFormat="false" ht="15" hidden="false" customHeight="false" outlineLevel="0" collapsed="false">
      <c r="A31" s="19" t="s">
        <v>43</v>
      </c>
      <c r="B31" s="19" t="s">
        <v>24</v>
      </c>
      <c r="C31" s="19" t="s">
        <v>32</v>
      </c>
      <c r="D31" s="19" t="s">
        <v>41</v>
      </c>
      <c r="E31" s="19" t="s">
        <v>27</v>
      </c>
      <c r="F31" s="19" t="n">
        <v>4</v>
      </c>
      <c r="G31" s="20" t="n">
        <v>2510.62</v>
      </c>
      <c r="H31" s="20" t="n">
        <v>10042.47</v>
      </c>
      <c r="I31" s="20" t="n">
        <v>5078.43</v>
      </c>
      <c r="J31" s="20" t="n">
        <v>4964.04</v>
      </c>
      <c r="K31" s="21" t="n">
        <v>0.494304547207091</v>
      </c>
      <c r="L31" s="19" t="n">
        <v>46</v>
      </c>
      <c r="M31" s="19" t="n">
        <v>3</v>
      </c>
      <c r="N31" s="21" t="n">
        <v>0.0652173913043478</v>
      </c>
    </row>
    <row r="32" customFormat="false" ht="15" hidden="false" customHeight="false" outlineLevel="0" collapsed="false">
      <c r="A32" s="19" t="s">
        <v>43</v>
      </c>
      <c r="B32" s="19" t="s">
        <v>24</v>
      </c>
      <c r="C32" s="19" t="s">
        <v>37</v>
      </c>
      <c r="D32" s="19" t="s">
        <v>42</v>
      </c>
      <c r="E32" s="19" t="s">
        <v>31</v>
      </c>
      <c r="F32" s="19" t="n">
        <v>17</v>
      </c>
      <c r="G32" s="20" t="n">
        <v>1661.22</v>
      </c>
      <c r="H32" s="20" t="n">
        <v>28240.71</v>
      </c>
      <c r="I32" s="20" t="n">
        <v>15379.74</v>
      </c>
      <c r="J32" s="20" t="n">
        <v>12860.97</v>
      </c>
      <c r="K32" s="21" t="n">
        <v>0.455405411411081</v>
      </c>
      <c r="L32" s="19" t="n">
        <v>41</v>
      </c>
      <c r="M32" s="19" t="n">
        <v>8</v>
      </c>
      <c r="N32" s="21" t="n">
        <v>0.195121951219512</v>
      </c>
    </row>
    <row r="33" customFormat="false" ht="15" hidden="false" customHeight="false" outlineLevel="0" collapsed="false">
      <c r="A33" s="19" t="s">
        <v>43</v>
      </c>
      <c r="B33" s="19" t="s">
        <v>24</v>
      </c>
      <c r="C33" s="19" t="s">
        <v>37</v>
      </c>
      <c r="D33" s="19" t="s">
        <v>30</v>
      </c>
      <c r="E33" s="19" t="s">
        <v>29</v>
      </c>
      <c r="F33" s="19" t="n">
        <v>5</v>
      </c>
      <c r="G33" s="20" t="n">
        <v>1257.23</v>
      </c>
      <c r="H33" s="20" t="n">
        <v>6286.17</v>
      </c>
      <c r="I33" s="20" t="n">
        <v>3274.21</v>
      </c>
      <c r="J33" s="20" t="n">
        <v>3011.96</v>
      </c>
      <c r="K33" s="21" t="n">
        <v>0.479140486682089</v>
      </c>
      <c r="L33" s="19" t="n">
        <v>41</v>
      </c>
      <c r="M33" s="19" t="n">
        <v>5</v>
      </c>
      <c r="N33" s="21" t="n">
        <v>0.121951219512195</v>
      </c>
    </row>
    <row r="34" customFormat="false" ht="15" hidden="false" customHeight="false" outlineLevel="0" collapsed="false">
      <c r="A34" s="19" t="s">
        <v>43</v>
      </c>
      <c r="B34" s="19" t="s">
        <v>24</v>
      </c>
      <c r="C34" s="19" t="s">
        <v>37</v>
      </c>
      <c r="D34" s="19" t="s">
        <v>35</v>
      </c>
      <c r="E34" s="19" t="s">
        <v>29</v>
      </c>
      <c r="F34" s="19" t="n">
        <v>5</v>
      </c>
      <c r="G34" s="20" t="n">
        <v>1041.82</v>
      </c>
      <c r="H34" s="20" t="n">
        <v>5209.1</v>
      </c>
      <c r="I34" s="20" t="n">
        <v>3102.76</v>
      </c>
      <c r="J34" s="20" t="n">
        <v>2106.34</v>
      </c>
      <c r="K34" s="21" t="n">
        <v>0.404357282311764</v>
      </c>
      <c r="L34" s="19" t="n">
        <v>21</v>
      </c>
      <c r="M34" s="19" t="n">
        <v>3</v>
      </c>
      <c r="N34" s="21" t="n">
        <v>0.142857142857143</v>
      </c>
    </row>
    <row r="35" customFormat="false" ht="15" hidden="false" customHeight="false" outlineLevel="0" collapsed="false">
      <c r="A35" s="19" t="s">
        <v>43</v>
      </c>
      <c r="B35" s="19" t="s">
        <v>24</v>
      </c>
      <c r="C35" s="19" t="s">
        <v>39</v>
      </c>
      <c r="D35" s="19" t="s">
        <v>33</v>
      </c>
      <c r="E35" s="19" t="s">
        <v>36</v>
      </c>
      <c r="F35" s="19" t="n">
        <v>6</v>
      </c>
      <c r="G35" s="20" t="n">
        <v>390.63</v>
      </c>
      <c r="H35" s="20" t="n">
        <v>2343.75</v>
      </c>
      <c r="I35" s="20" t="n">
        <v>1185.26</v>
      </c>
      <c r="J35" s="20" t="n">
        <v>1158.5</v>
      </c>
      <c r="K35" s="21" t="n">
        <v>0.494290971066612</v>
      </c>
      <c r="L35" s="19" t="n">
        <v>30</v>
      </c>
      <c r="M35" s="19" t="n">
        <v>3</v>
      </c>
      <c r="N35" s="21" t="n">
        <v>0.1</v>
      </c>
    </row>
    <row r="36" customFormat="false" ht="15" hidden="false" customHeight="false" outlineLevel="0" collapsed="false">
      <c r="A36" s="19" t="s">
        <v>43</v>
      </c>
      <c r="B36" s="19" t="s">
        <v>24</v>
      </c>
      <c r="C36" s="19" t="s">
        <v>39</v>
      </c>
      <c r="D36" s="19" t="s">
        <v>26</v>
      </c>
      <c r="E36" s="19" t="s">
        <v>36</v>
      </c>
      <c r="F36" s="19" t="n">
        <v>19</v>
      </c>
      <c r="G36" s="20" t="n">
        <v>351.75</v>
      </c>
      <c r="H36" s="20" t="n">
        <v>6683.23</v>
      </c>
      <c r="I36" s="20" t="n">
        <v>3879.14</v>
      </c>
      <c r="J36" s="20" t="n">
        <v>2804.09</v>
      </c>
      <c r="K36" s="21" t="n">
        <v>0.419571021200296</v>
      </c>
      <c r="L36" s="19" t="n">
        <v>49</v>
      </c>
      <c r="M36" s="19" t="n">
        <v>2</v>
      </c>
      <c r="N36" s="21" t="n">
        <v>0.0408163265306122</v>
      </c>
    </row>
    <row r="37" customFormat="false" ht="15" hidden="false" customHeight="false" outlineLevel="0" collapsed="false">
      <c r="A37" s="19" t="s">
        <v>43</v>
      </c>
      <c r="B37" s="19" t="s">
        <v>24</v>
      </c>
      <c r="C37" s="19" t="s">
        <v>39</v>
      </c>
      <c r="D37" s="19" t="s">
        <v>35</v>
      </c>
      <c r="E37" s="19" t="s">
        <v>29</v>
      </c>
      <c r="F37" s="19" t="n">
        <v>9</v>
      </c>
      <c r="G37" s="20" t="n">
        <v>1079.87</v>
      </c>
      <c r="H37" s="20" t="n">
        <v>9718.85</v>
      </c>
      <c r="I37" s="20" t="n">
        <v>5317.46</v>
      </c>
      <c r="J37" s="20" t="n">
        <v>4401.39</v>
      </c>
      <c r="K37" s="21" t="n">
        <v>0.452871774909856</v>
      </c>
      <c r="L37" s="19" t="n">
        <v>28</v>
      </c>
      <c r="M37" s="19" t="n">
        <v>8</v>
      </c>
      <c r="N37" s="21" t="n">
        <v>0.285714285714286</v>
      </c>
    </row>
    <row r="38" customFormat="false" ht="15" hidden="false" customHeight="false" outlineLevel="0" collapsed="false">
      <c r="A38" s="19" t="s">
        <v>44</v>
      </c>
      <c r="B38" s="19" t="s">
        <v>45</v>
      </c>
      <c r="C38" s="19" t="s">
        <v>25</v>
      </c>
      <c r="D38" s="19" t="s">
        <v>28</v>
      </c>
      <c r="E38" s="19" t="s">
        <v>29</v>
      </c>
      <c r="F38" s="19" t="n">
        <v>14</v>
      </c>
      <c r="G38" s="20" t="n">
        <v>1115.47</v>
      </c>
      <c r="H38" s="20" t="n">
        <v>15616.62</v>
      </c>
      <c r="I38" s="20" t="n">
        <v>9476.39</v>
      </c>
      <c r="J38" s="20" t="n">
        <v>6140.24</v>
      </c>
      <c r="K38" s="21" t="n">
        <v>0.393185879610286</v>
      </c>
      <c r="L38" s="19" t="n">
        <v>44</v>
      </c>
      <c r="M38" s="19" t="n">
        <v>11</v>
      </c>
      <c r="N38" s="21" t="n">
        <v>0.25</v>
      </c>
    </row>
    <row r="39" customFormat="false" ht="15" hidden="false" customHeight="false" outlineLevel="0" collapsed="false">
      <c r="A39" s="19" t="s">
        <v>44</v>
      </c>
      <c r="B39" s="19" t="s">
        <v>45</v>
      </c>
      <c r="C39" s="19" t="s">
        <v>25</v>
      </c>
      <c r="D39" s="19" t="s">
        <v>26</v>
      </c>
      <c r="E39" s="19" t="s">
        <v>36</v>
      </c>
      <c r="F39" s="19" t="n">
        <v>19</v>
      </c>
      <c r="G39" s="20" t="n">
        <v>419.42</v>
      </c>
      <c r="H39" s="20" t="n">
        <v>7969.07</v>
      </c>
      <c r="I39" s="20" t="n">
        <v>4361.74</v>
      </c>
      <c r="J39" s="20" t="n">
        <v>3607.32</v>
      </c>
      <c r="K39" s="21" t="n">
        <v>0.452665717669134</v>
      </c>
      <c r="L39" s="19" t="n">
        <v>27</v>
      </c>
      <c r="M39" s="19" t="n">
        <v>11</v>
      </c>
      <c r="N39" s="21" t="n">
        <v>0.407407407407407</v>
      </c>
    </row>
    <row r="40" customFormat="false" ht="15" hidden="false" customHeight="false" outlineLevel="0" collapsed="false">
      <c r="A40" s="19" t="s">
        <v>44</v>
      </c>
      <c r="B40" s="19" t="s">
        <v>45</v>
      </c>
      <c r="C40" s="19" t="s">
        <v>25</v>
      </c>
      <c r="D40" s="19" t="s">
        <v>33</v>
      </c>
      <c r="E40" s="19" t="s">
        <v>38</v>
      </c>
      <c r="F40" s="19" t="n">
        <v>3</v>
      </c>
      <c r="G40" s="20" t="n">
        <v>870.19</v>
      </c>
      <c r="H40" s="20" t="n">
        <v>2610.57</v>
      </c>
      <c r="I40" s="20" t="n">
        <v>1457.85</v>
      </c>
      <c r="J40" s="20" t="n">
        <v>1152.73</v>
      </c>
      <c r="K40" s="21" t="n">
        <v>0.441560959725145</v>
      </c>
      <c r="L40" s="19" t="n">
        <v>35</v>
      </c>
      <c r="M40" s="19" t="n">
        <v>2</v>
      </c>
      <c r="N40" s="21" t="n">
        <v>0.0571428571428571</v>
      </c>
    </row>
    <row r="41" customFormat="false" ht="15" hidden="false" customHeight="false" outlineLevel="0" collapsed="false">
      <c r="A41" s="19" t="s">
        <v>44</v>
      </c>
      <c r="B41" s="19" t="s">
        <v>45</v>
      </c>
      <c r="C41" s="19" t="s">
        <v>32</v>
      </c>
      <c r="D41" s="19" t="s">
        <v>28</v>
      </c>
      <c r="E41" s="19" t="s">
        <v>31</v>
      </c>
      <c r="F41" s="19" t="n">
        <v>18</v>
      </c>
      <c r="G41" s="20" t="n">
        <v>1615.01</v>
      </c>
      <c r="H41" s="20" t="n">
        <v>29070.25</v>
      </c>
      <c r="I41" s="20" t="n">
        <v>18667.63</v>
      </c>
      <c r="J41" s="20" t="n">
        <v>10402.62</v>
      </c>
      <c r="K41" s="21" t="n">
        <v>0.35784421934511</v>
      </c>
      <c r="L41" s="19" t="n">
        <v>20</v>
      </c>
      <c r="M41" s="19" t="n">
        <v>7</v>
      </c>
      <c r="N41" s="21" t="n">
        <v>0.35</v>
      </c>
    </row>
    <row r="42" customFormat="false" ht="15" hidden="false" customHeight="false" outlineLevel="0" collapsed="false">
      <c r="A42" s="19" t="s">
        <v>44</v>
      </c>
      <c r="B42" s="19" t="s">
        <v>45</v>
      </c>
      <c r="C42" s="19" t="s">
        <v>32</v>
      </c>
      <c r="D42" s="19" t="s">
        <v>35</v>
      </c>
      <c r="E42" s="19" t="s">
        <v>29</v>
      </c>
      <c r="F42" s="19" t="n">
        <v>4</v>
      </c>
      <c r="G42" s="20" t="n">
        <v>1263.08</v>
      </c>
      <c r="H42" s="20" t="n">
        <v>5052.31</v>
      </c>
      <c r="I42" s="20" t="n">
        <v>2511.2</v>
      </c>
      <c r="J42" s="20" t="n">
        <v>2541.1</v>
      </c>
      <c r="K42" s="21" t="n">
        <v>0.502959220999814</v>
      </c>
      <c r="L42" s="19" t="n">
        <v>22</v>
      </c>
      <c r="M42" s="19" t="n">
        <v>6</v>
      </c>
      <c r="N42" s="21" t="n">
        <v>0.272727272727273</v>
      </c>
    </row>
    <row r="43" customFormat="false" ht="15" hidden="false" customHeight="false" outlineLevel="0" collapsed="false">
      <c r="A43" s="19" t="s">
        <v>44</v>
      </c>
      <c r="B43" s="19" t="s">
        <v>45</v>
      </c>
      <c r="C43" s="19" t="s">
        <v>32</v>
      </c>
      <c r="D43" s="19" t="s">
        <v>33</v>
      </c>
      <c r="E43" s="19" t="s">
        <v>38</v>
      </c>
      <c r="F43" s="19" t="n">
        <v>20</v>
      </c>
      <c r="G43" s="20" t="n">
        <v>874.1</v>
      </c>
      <c r="H43" s="20" t="n">
        <v>17482.05</v>
      </c>
      <c r="I43" s="20" t="n">
        <v>10032.53</v>
      </c>
      <c r="J43" s="20" t="n">
        <v>7449.51</v>
      </c>
      <c r="K43" s="21" t="n">
        <v>0.426123697933579</v>
      </c>
      <c r="L43" s="19" t="n">
        <v>41</v>
      </c>
      <c r="M43" s="19" t="n">
        <v>23</v>
      </c>
      <c r="N43" s="21" t="n">
        <v>0.560975609756098</v>
      </c>
    </row>
    <row r="44" customFormat="false" ht="15" hidden="false" customHeight="false" outlineLevel="0" collapsed="false">
      <c r="A44" s="19" t="s">
        <v>44</v>
      </c>
      <c r="B44" s="19" t="s">
        <v>45</v>
      </c>
      <c r="C44" s="19" t="s">
        <v>37</v>
      </c>
      <c r="D44" s="19" t="s">
        <v>30</v>
      </c>
      <c r="E44" s="19" t="s">
        <v>27</v>
      </c>
      <c r="F44" s="19" t="n">
        <v>9</v>
      </c>
      <c r="G44" s="20" t="n">
        <v>2324.21</v>
      </c>
      <c r="H44" s="20" t="n">
        <v>20917.9</v>
      </c>
      <c r="I44" s="20" t="n">
        <v>9960.59</v>
      </c>
      <c r="J44" s="20" t="n">
        <v>10957.3</v>
      </c>
      <c r="K44" s="21" t="n">
        <v>0.523824343574509</v>
      </c>
      <c r="L44" s="19" t="n">
        <v>56</v>
      </c>
      <c r="M44" s="19" t="n">
        <v>6</v>
      </c>
      <c r="N44" s="21" t="n">
        <v>0.107142857142857</v>
      </c>
    </row>
    <row r="45" customFormat="false" ht="15" hidden="false" customHeight="false" outlineLevel="0" collapsed="false">
      <c r="A45" s="19" t="s">
        <v>44</v>
      </c>
      <c r="B45" s="19" t="s">
        <v>45</v>
      </c>
      <c r="C45" s="19" t="s">
        <v>37</v>
      </c>
      <c r="D45" s="19" t="s">
        <v>42</v>
      </c>
      <c r="E45" s="19" t="s">
        <v>36</v>
      </c>
      <c r="F45" s="19" t="n">
        <v>12</v>
      </c>
      <c r="G45" s="20" t="n">
        <v>451.48</v>
      </c>
      <c r="H45" s="20" t="n">
        <v>5417.79</v>
      </c>
      <c r="I45" s="20" t="n">
        <v>3451.93</v>
      </c>
      <c r="J45" s="20" t="n">
        <v>1965.86</v>
      </c>
      <c r="K45" s="21" t="n">
        <v>0.362853142511035</v>
      </c>
      <c r="L45" s="19" t="n">
        <v>15</v>
      </c>
      <c r="M45" s="19" t="n">
        <v>9</v>
      </c>
      <c r="N45" s="21" t="n">
        <v>0.6</v>
      </c>
    </row>
    <row r="46" customFormat="false" ht="15" hidden="false" customHeight="false" outlineLevel="0" collapsed="false">
      <c r="A46" s="19" t="s">
        <v>44</v>
      </c>
      <c r="B46" s="19" t="s">
        <v>45</v>
      </c>
      <c r="C46" s="19" t="s">
        <v>37</v>
      </c>
      <c r="D46" s="19" t="s">
        <v>26</v>
      </c>
      <c r="E46" s="19" t="s">
        <v>31</v>
      </c>
      <c r="F46" s="19" t="n">
        <v>20</v>
      </c>
      <c r="G46" s="20" t="n">
        <v>2067.89</v>
      </c>
      <c r="H46" s="20" t="n">
        <v>41357.84</v>
      </c>
      <c r="I46" s="20" t="n">
        <v>19217.01</v>
      </c>
      <c r="J46" s="20" t="n">
        <v>22140.83</v>
      </c>
      <c r="K46" s="21" t="n">
        <v>0.535347855780073</v>
      </c>
      <c r="L46" s="19" t="n">
        <v>28</v>
      </c>
      <c r="M46" s="19" t="n">
        <v>18</v>
      </c>
      <c r="N46" s="21" t="n">
        <v>0.642857142857143</v>
      </c>
    </row>
    <row r="47" customFormat="false" ht="15" hidden="false" customHeight="false" outlineLevel="0" collapsed="false">
      <c r="A47" s="19" t="s">
        <v>44</v>
      </c>
      <c r="B47" s="19" t="s">
        <v>45</v>
      </c>
      <c r="C47" s="19" t="s">
        <v>39</v>
      </c>
      <c r="D47" s="19" t="s">
        <v>35</v>
      </c>
      <c r="E47" s="19" t="s">
        <v>29</v>
      </c>
      <c r="F47" s="19" t="n">
        <v>9</v>
      </c>
      <c r="G47" s="20" t="n">
        <v>1153.03</v>
      </c>
      <c r="H47" s="20" t="n">
        <v>10377.27</v>
      </c>
      <c r="I47" s="20" t="n">
        <v>4997.17</v>
      </c>
      <c r="J47" s="20" t="n">
        <v>5380.1</v>
      </c>
      <c r="K47" s="21" t="n">
        <v>0.518450633528554</v>
      </c>
      <c r="L47" s="19" t="n">
        <v>49</v>
      </c>
      <c r="M47" s="19" t="n">
        <v>6</v>
      </c>
      <c r="N47" s="21" t="n">
        <v>0.122448979591837</v>
      </c>
    </row>
    <row r="48" customFormat="false" ht="15" hidden="false" customHeight="false" outlineLevel="0" collapsed="false">
      <c r="A48" s="19" t="s">
        <v>44</v>
      </c>
      <c r="B48" s="19" t="s">
        <v>45</v>
      </c>
      <c r="C48" s="19" t="s">
        <v>39</v>
      </c>
      <c r="D48" s="19" t="s">
        <v>26</v>
      </c>
      <c r="E48" s="19" t="s">
        <v>31</v>
      </c>
      <c r="F48" s="19" t="n">
        <v>18</v>
      </c>
      <c r="G48" s="20" t="n">
        <v>1534.22</v>
      </c>
      <c r="H48" s="20" t="n">
        <v>27616.04</v>
      </c>
      <c r="I48" s="20" t="n">
        <v>16940.25</v>
      </c>
      <c r="J48" s="20" t="n">
        <v>10675.79</v>
      </c>
      <c r="K48" s="21" t="n">
        <v>0.386579172976908</v>
      </c>
      <c r="L48" s="19" t="n">
        <v>34</v>
      </c>
      <c r="M48" s="19" t="n">
        <v>5</v>
      </c>
      <c r="N48" s="21" t="n">
        <v>0.147058823529412</v>
      </c>
    </row>
    <row r="49" customFormat="false" ht="15" hidden="false" customHeight="false" outlineLevel="0" collapsed="false">
      <c r="A49" s="19" t="s">
        <v>44</v>
      </c>
      <c r="B49" s="19" t="s">
        <v>45</v>
      </c>
      <c r="C49" s="19" t="s">
        <v>39</v>
      </c>
      <c r="D49" s="19" t="s">
        <v>42</v>
      </c>
      <c r="E49" s="19" t="s">
        <v>38</v>
      </c>
      <c r="F49" s="19" t="n">
        <v>10</v>
      </c>
      <c r="G49" s="20" t="n">
        <v>751.93</v>
      </c>
      <c r="H49" s="20" t="n">
        <v>7519.34</v>
      </c>
      <c r="I49" s="20" t="n">
        <v>3544.67</v>
      </c>
      <c r="J49" s="20" t="n">
        <v>3974.67</v>
      </c>
      <c r="K49" s="21" t="n">
        <v>0.528592804458116</v>
      </c>
      <c r="L49" s="19" t="n">
        <v>50</v>
      </c>
      <c r="M49" s="19" t="n">
        <v>4</v>
      </c>
      <c r="N49" s="21" t="n">
        <v>0.08</v>
      </c>
    </row>
    <row r="50" customFormat="false" ht="15" hidden="false" customHeight="false" outlineLevel="0" collapsed="false">
      <c r="A50" s="19" t="s">
        <v>46</v>
      </c>
      <c r="B50" s="19" t="s">
        <v>45</v>
      </c>
      <c r="C50" s="19" t="s">
        <v>25</v>
      </c>
      <c r="D50" s="19" t="s">
        <v>35</v>
      </c>
      <c r="E50" s="19" t="s">
        <v>38</v>
      </c>
      <c r="F50" s="19" t="n">
        <v>12</v>
      </c>
      <c r="G50" s="20" t="n">
        <v>774.42</v>
      </c>
      <c r="H50" s="20" t="n">
        <v>9293.01</v>
      </c>
      <c r="I50" s="20" t="n">
        <v>5360.65</v>
      </c>
      <c r="J50" s="20" t="n">
        <v>3932.36</v>
      </c>
      <c r="K50" s="21" t="n">
        <v>0.423152408222984</v>
      </c>
      <c r="L50" s="19" t="n">
        <v>31</v>
      </c>
      <c r="M50" s="19" t="n">
        <v>10</v>
      </c>
      <c r="N50" s="21" t="n">
        <v>0.32258064516129</v>
      </c>
    </row>
    <row r="51" customFormat="false" ht="15" hidden="false" customHeight="false" outlineLevel="0" collapsed="false">
      <c r="A51" s="19" t="s">
        <v>46</v>
      </c>
      <c r="B51" s="19" t="s">
        <v>45</v>
      </c>
      <c r="C51" s="19" t="s">
        <v>25</v>
      </c>
      <c r="D51" s="19" t="s">
        <v>42</v>
      </c>
      <c r="E51" s="19" t="s">
        <v>36</v>
      </c>
      <c r="F51" s="19" t="n">
        <v>10</v>
      </c>
      <c r="G51" s="20" t="n">
        <v>448.64</v>
      </c>
      <c r="H51" s="20" t="n">
        <v>4486.4</v>
      </c>
      <c r="I51" s="20" t="n">
        <v>2778.07</v>
      </c>
      <c r="J51" s="20" t="n">
        <v>1708.33</v>
      </c>
      <c r="K51" s="21" t="n">
        <v>0.380779257341029</v>
      </c>
      <c r="L51" s="19" t="n">
        <v>20</v>
      </c>
      <c r="M51" s="19" t="n">
        <v>12</v>
      </c>
      <c r="N51" s="21" t="n">
        <v>0.6</v>
      </c>
    </row>
    <row r="52" customFormat="false" ht="15" hidden="false" customHeight="false" outlineLevel="0" collapsed="false">
      <c r="A52" s="19" t="s">
        <v>46</v>
      </c>
      <c r="B52" s="19" t="s">
        <v>45</v>
      </c>
      <c r="C52" s="19" t="s">
        <v>25</v>
      </c>
      <c r="D52" s="19" t="s">
        <v>34</v>
      </c>
      <c r="E52" s="19" t="s">
        <v>36</v>
      </c>
      <c r="F52" s="19" t="n">
        <v>10</v>
      </c>
      <c r="G52" s="20" t="n">
        <v>345.29</v>
      </c>
      <c r="H52" s="20" t="n">
        <v>3452.9</v>
      </c>
      <c r="I52" s="20" t="n">
        <v>1784.15</v>
      </c>
      <c r="J52" s="20" t="n">
        <v>1668.75</v>
      </c>
      <c r="K52" s="21" t="n">
        <v>0.483288692278982</v>
      </c>
      <c r="L52" s="19" t="n">
        <v>23</v>
      </c>
      <c r="M52" s="19" t="n">
        <v>12</v>
      </c>
      <c r="N52" s="21" t="n">
        <v>0.521739130434783</v>
      </c>
    </row>
    <row r="53" customFormat="false" ht="15" hidden="false" customHeight="false" outlineLevel="0" collapsed="false">
      <c r="A53" s="19" t="s">
        <v>46</v>
      </c>
      <c r="B53" s="19" t="s">
        <v>45</v>
      </c>
      <c r="C53" s="19" t="s">
        <v>32</v>
      </c>
      <c r="D53" s="19" t="s">
        <v>35</v>
      </c>
      <c r="E53" s="19" t="s">
        <v>36</v>
      </c>
      <c r="F53" s="19" t="n">
        <v>19</v>
      </c>
      <c r="G53" s="20" t="n">
        <v>424.68</v>
      </c>
      <c r="H53" s="20" t="n">
        <v>8068.92</v>
      </c>
      <c r="I53" s="20" t="n">
        <v>4536.2</v>
      </c>
      <c r="J53" s="20" t="n">
        <v>3532.72</v>
      </c>
      <c r="K53" s="21" t="n">
        <v>0.437818627045051</v>
      </c>
      <c r="L53" s="19" t="n">
        <v>22</v>
      </c>
      <c r="M53" s="19" t="n">
        <v>4</v>
      </c>
      <c r="N53" s="21" t="n">
        <v>0.181818181818182</v>
      </c>
    </row>
    <row r="54" customFormat="false" ht="15" hidden="false" customHeight="false" outlineLevel="0" collapsed="false">
      <c r="A54" s="19" t="s">
        <v>46</v>
      </c>
      <c r="B54" s="19" t="s">
        <v>45</v>
      </c>
      <c r="C54" s="19" t="s">
        <v>32</v>
      </c>
      <c r="D54" s="19" t="s">
        <v>26</v>
      </c>
      <c r="E54" s="19" t="s">
        <v>38</v>
      </c>
      <c r="F54" s="19" t="n">
        <v>19</v>
      </c>
      <c r="G54" s="20" t="n">
        <v>731.69</v>
      </c>
      <c r="H54" s="20" t="n">
        <v>13902.06</v>
      </c>
      <c r="I54" s="20" t="n">
        <v>7282.5</v>
      </c>
      <c r="J54" s="20" t="n">
        <v>6619.56</v>
      </c>
      <c r="K54" s="21" t="n">
        <v>0.476156803097562</v>
      </c>
      <c r="L54" s="19" t="n">
        <v>50</v>
      </c>
      <c r="M54" s="19" t="n">
        <v>6</v>
      </c>
      <c r="N54" s="21" t="n">
        <v>0.12</v>
      </c>
    </row>
    <row r="55" customFormat="false" ht="15" hidden="false" customHeight="false" outlineLevel="0" collapsed="false">
      <c r="A55" s="19" t="s">
        <v>46</v>
      </c>
      <c r="B55" s="19" t="s">
        <v>45</v>
      </c>
      <c r="C55" s="19" t="s">
        <v>32</v>
      </c>
      <c r="D55" s="19" t="s">
        <v>30</v>
      </c>
      <c r="E55" s="19" t="s">
        <v>36</v>
      </c>
      <c r="F55" s="19" t="n">
        <v>6</v>
      </c>
      <c r="G55" s="20" t="n">
        <v>345.02</v>
      </c>
      <c r="H55" s="20" t="n">
        <v>2070.12</v>
      </c>
      <c r="I55" s="20" t="n">
        <v>1082.53</v>
      </c>
      <c r="J55" s="20" t="n">
        <v>987.59</v>
      </c>
      <c r="K55" s="21" t="n">
        <v>0.477069696934549</v>
      </c>
      <c r="L55" s="19" t="n">
        <v>17</v>
      </c>
      <c r="M55" s="19" t="n">
        <v>7</v>
      </c>
      <c r="N55" s="21" t="n">
        <v>0.411764705882353</v>
      </c>
    </row>
    <row r="56" customFormat="false" ht="15" hidden="false" customHeight="false" outlineLevel="0" collapsed="false">
      <c r="A56" s="19" t="s">
        <v>46</v>
      </c>
      <c r="B56" s="19" t="s">
        <v>45</v>
      </c>
      <c r="C56" s="19" t="s">
        <v>37</v>
      </c>
      <c r="D56" s="19" t="s">
        <v>33</v>
      </c>
      <c r="E56" s="19" t="s">
        <v>29</v>
      </c>
      <c r="F56" s="19" t="n">
        <v>13</v>
      </c>
      <c r="G56" s="20" t="n">
        <v>1300.84</v>
      </c>
      <c r="H56" s="20" t="n">
        <v>16910.94</v>
      </c>
      <c r="I56" s="20" t="n">
        <v>10600.24</v>
      </c>
      <c r="J56" s="20" t="n">
        <v>6310.71</v>
      </c>
      <c r="K56" s="21" t="n">
        <v>0.373173059709798</v>
      </c>
      <c r="L56" s="19" t="n">
        <v>41</v>
      </c>
      <c r="M56" s="19" t="n">
        <v>11</v>
      </c>
      <c r="N56" s="21" t="n">
        <v>0.268292682926829</v>
      </c>
    </row>
    <row r="57" customFormat="false" ht="15" hidden="false" customHeight="false" outlineLevel="0" collapsed="false">
      <c r="A57" s="19" t="s">
        <v>46</v>
      </c>
      <c r="B57" s="19" t="s">
        <v>45</v>
      </c>
      <c r="C57" s="19" t="s">
        <v>37</v>
      </c>
      <c r="D57" s="19" t="s">
        <v>30</v>
      </c>
      <c r="E57" s="19" t="s">
        <v>38</v>
      </c>
      <c r="F57" s="19" t="n">
        <v>9</v>
      </c>
      <c r="G57" s="20" t="n">
        <v>942.97</v>
      </c>
      <c r="H57" s="20" t="n">
        <v>8486.77</v>
      </c>
      <c r="I57" s="20" t="n">
        <v>5476.01</v>
      </c>
      <c r="J57" s="20" t="n">
        <v>3010.76</v>
      </c>
      <c r="K57" s="21" t="n">
        <v>0.354758793413807</v>
      </c>
      <c r="L57" s="19" t="n">
        <v>26</v>
      </c>
      <c r="M57" s="19" t="n">
        <v>8</v>
      </c>
      <c r="N57" s="21" t="n">
        <v>0.307692307692308</v>
      </c>
    </row>
    <row r="58" customFormat="false" ht="15" hidden="false" customHeight="false" outlineLevel="0" collapsed="false">
      <c r="A58" s="19" t="s">
        <v>46</v>
      </c>
      <c r="B58" s="19" t="s">
        <v>45</v>
      </c>
      <c r="C58" s="19" t="s">
        <v>37</v>
      </c>
      <c r="D58" s="19" t="s">
        <v>26</v>
      </c>
      <c r="E58" s="19" t="s">
        <v>29</v>
      </c>
      <c r="F58" s="19" t="n">
        <v>7</v>
      </c>
      <c r="G58" s="20" t="n">
        <v>1285.16</v>
      </c>
      <c r="H58" s="20" t="n">
        <v>8996.14</v>
      </c>
      <c r="I58" s="20" t="n">
        <v>4645.94</v>
      </c>
      <c r="J58" s="20" t="n">
        <v>4350.2</v>
      </c>
      <c r="K58" s="21" t="n">
        <v>0.483562906410714</v>
      </c>
      <c r="L58" s="19" t="n">
        <v>41</v>
      </c>
      <c r="M58" s="19" t="n">
        <v>5</v>
      </c>
      <c r="N58" s="21" t="n">
        <v>0.121951219512195</v>
      </c>
    </row>
    <row r="59" customFormat="false" ht="15" hidden="false" customHeight="false" outlineLevel="0" collapsed="false">
      <c r="A59" s="19" t="s">
        <v>46</v>
      </c>
      <c r="B59" s="19" t="s">
        <v>45</v>
      </c>
      <c r="C59" s="19" t="s">
        <v>39</v>
      </c>
      <c r="D59" s="19" t="s">
        <v>35</v>
      </c>
      <c r="E59" s="19" t="s">
        <v>29</v>
      </c>
      <c r="F59" s="19" t="n">
        <v>14</v>
      </c>
      <c r="G59" s="20" t="n">
        <v>1333.98</v>
      </c>
      <c r="H59" s="20" t="n">
        <v>18675.72</v>
      </c>
      <c r="I59" s="20" t="n">
        <v>11611.04</v>
      </c>
      <c r="J59" s="20" t="n">
        <v>7064.68</v>
      </c>
      <c r="K59" s="21" t="n">
        <v>0.378281349732444</v>
      </c>
      <c r="L59" s="19" t="n">
        <v>29</v>
      </c>
      <c r="M59" s="19" t="n">
        <v>8</v>
      </c>
      <c r="N59" s="21" t="n">
        <v>0.275862068965517</v>
      </c>
    </row>
    <row r="60" customFormat="false" ht="15" hidden="false" customHeight="false" outlineLevel="0" collapsed="false">
      <c r="A60" s="19" t="s">
        <v>46</v>
      </c>
      <c r="B60" s="19" t="s">
        <v>45</v>
      </c>
      <c r="C60" s="19" t="s">
        <v>39</v>
      </c>
      <c r="D60" s="19" t="s">
        <v>26</v>
      </c>
      <c r="E60" s="19" t="s">
        <v>36</v>
      </c>
      <c r="F60" s="19" t="n">
        <v>13</v>
      </c>
      <c r="G60" s="20" t="n">
        <v>376.62</v>
      </c>
      <c r="H60" s="20" t="n">
        <v>4896.1</v>
      </c>
      <c r="I60" s="20" t="n">
        <v>2982.06</v>
      </c>
      <c r="J60" s="20" t="n">
        <v>1914.04</v>
      </c>
      <c r="K60" s="21" t="n">
        <v>0.390930900169428</v>
      </c>
      <c r="L60" s="19" t="n">
        <v>29</v>
      </c>
      <c r="M60" s="19" t="n">
        <v>5</v>
      </c>
      <c r="N60" s="21" t="n">
        <v>0.172413793103448</v>
      </c>
    </row>
    <row r="61" customFormat="false" ht="15" hidden="false" customHeight="false" outlineLevel="0" collapsed="false">
      <c r="A61" s="19" t="s">
        <v>46</v>
      </c>
      <c r="B61" s="19" t="s">
        <v>45</v>
      </c>
      <c r="C61" s="19" t="s">
        <v>39</v>
      </c>
      <c r="D61" s="19" t="s">
        <v>30</v>
      </c>
      <c r="E61" s="19" t="s">
        <v>29</v>
      </c>
      <c r="F61" s="19" t="n">
        <v>8</v>
      </c>
      <c r="G61" s="20" t="n">
        <v>1163.45</v>
      </c>
      <c r="H61" s="20" t="n">
        <v>9307.58</v>
      </c>
      <c r="I61" s="20" t="n">
        <v>4707.04</v>
      </c>
      <c r="J61" s="20" t="n">
        <v>4600.55</v>
      </c>
      <c r="K61" s="21" t="n">
        <v>0.494279387795399</v>
      </c>
      <c r="L61" s="19" t="n">
        <v>19</v>
      </c>
      <c r="M61" s="19" t="n">
        <v>6</v>
      </c>
      <c r="N61" s="21" t="n">
        <v>0.315789473684211</v>
      </c>
    </row>
    <row r="62" customFormat="false" ht="15" hidden="false" customHeight="false" outlineLevel="0" collapsed="false">
      <c r="A62" s="19" t="s">
        <v>47</v>
      </c>
      <c r="B62" s="19" t="s">
        <v>45</v>
      </c>
      <c r="C62" s="19" t="s">
        <v>25</v>
      </c>
      <c r="D62" s="19" t="s">
        <v>30</v>
      </c>
      <c r="E62" s="19" t="s">
        <v>36</v>
      </c>
      <c r="F62" s="19" t="n">
        <v>19</v>
      </c>
      <c r="G62" s="20" t="n">
        <v>379.74</v>
      </c>
      <c r="H62" s="20" t="n">
        <v>7215.02</v>
      </c>
      <c r="I62" s="20" t="n">
        <v>3286.59</v>
      </c>
      <c r="J62" s="20" t="n">
        <v>3928.43</v>
      </c>
      <c r="K62" s="21" t="n">
        <v>0.544479892976073</v>
      </c>
      <c r="L62" s="19" t="n">
        <v>31</v>
      </c>
      <c r="M62" s="19" t="n">
        <v>7</v>
      </c>
      <c r="N62" s="21" t="n">
        <v>0.225806451612903</v>
      </c>
    </row>
    <row r="63" customFormat="false" ht="15" hidden="false" customHeight="false" outlineLevel="0" collapsed="false">
      <c r="A63" s="19" t="s">
        <v>47</v>
      </c>
      <c r="B63" s="19" t="s">
        <v>45</v>
      </c>
      <c r="C63" s="19" t="s">
        <v>25</v>
      </c>
      <c r="D63" s="19" t="s">
        <v>34</v>
      </c>
      <c r="E63" s="19" t="s">
        <v>31</v>
      </c>
      <c r="F63" s="19" t="n">
        <v>10</v>
      </c>
      <c r="G63" s="20" t="n">
        <v>1550.66</v>
      </c>
      <c r="H63" s="20" t="n">
        <v>15506.59</v>
      </c>
      <c r="I63" s="20" t="n">
        <v>8828.12</v>
      </c>
      <c r="J63" s="20" t="n">
        <v>6678.47</v>
      </c>
      <c r="K63" s="21" t="n">
        <v>0.430685749002451</v>
      </c>
      <c r="L63" s="19" t="n">
        <v>37</v>
      </c>
      <c r="M63" s="19" t="n">
        <v>13</v>
      </c>
      <c r="N63" s="21" t="n">
        <v>0.351351351351351</v>
      </c>
    </row>
    <row r="64" customFormat="false" ht="15" hidden="false" customHeight="false" outlineLevel="0" collapsed="false">
      <c r="A64" s="19" t="s">
        <v>47</v>
      </c>
      <c r="B64" s="19" t="s">
        <v>45</v>
      </c>
      <c r="C64" s="19" t="s">
        <v>25</v>
      </c>
      <c r="D64" s="19" t="s">
        <v>35</v>
      </c>
      <c r="E64" s="19" t="s">
        <v>27</v>
      </c>
      <c r="F64" s="19" t="n">
        <v>15</v>
      </c>
      <c r="G64" s="20" t="n">
        <v>2579.66</v>
      </c>
      <c r="H64" s="20" t="n">
        <v>38694.85</v>
      </c>
      <c r="I64" s="20" t="n">
        <v>21370.57</v>
      </c>
      <c r="J64" s="20" t="n">
        <v>17324.28</v>
      </c>
      <c r="K64" s="21" t="n">
        <v>0.447715388066104</v>
      </c>
      <c r="L64" s="19" t="n">
        <v>39</v>
      </c>
      <c r="M64" s="19" t="n">
        <v>8</v>
      </c>
      <c r="N64" s="21" t="n">
        <v>0.205128205128205</v>
      </c>
    </row>
    <row r="65" customFormat="false" ht="15" hidden="false" customHeight="false" outlineLevel="0" collapsed="false">
      <c r="A65" s="19" t="s">
        <v>47</v>
      </c>
      <c r="B65" s="19" t="s">
        <v>45</v>
      </c>
      <c r="C65" s="19" t="s">
        <v>32</v>
      </c>
      <c r="D65" s="19" t="s">
        <v>35</v>
      </c>
      <c r="E65" s="19" t="s">
        <v>36</v>
      </c>
      <c r="F65" s="19" t="n">
        <v>2</v>
      </c>
      <c r="G65" s="20" t="n">
        <v>402.39</v>
      </c>
      <c r="H65" s="20" t="n">
        <v>804.78</v>
      </c>
      <c r="I65" s="20" t="n">
        <v>491.96</v>
      </c>
      <c r="J65" s="20" t="n">
        <v>312.82</v>
      </c>
      <c r="K65" s="21" t="n">
        <v>0.388697826059979</v>
      </c>
      <c r="L65" s="19" t="n">
        <v>58</v>
      </c>
      <c r="M65" s="19" t="n">
        <v>3</v>
      </c>
      <c r="N65" s="21" t="n">
        <v>0.0517241379310345</v>
      </c>
    </row>
    <row r="66" customFormat="false" ht="15" hidden="false" customHeight="false" outlineLevel="0" collapsed="false">
      <c r="A66" s="19" t="s">
        <v>47</v>
      </c>
      <c r="B66" s="19" t="s">
        <v>45</v>
      </c>
      <c r="C66" s="19" t="s">
        <v>32</v>
      </c>
      <c r="D66" s="19" t="s">
        <v>28</v>
      </c>
      <c r="E66" s="19" t="s">
        <v>27</v>
      </c>
      <c r="F66" s="19" t="n">
        <v>15</v>
      </c>
      <c r="G66" s="20" t="n">
        <v>2177.48</v>
      </c>
      <c r="H66" s="20" t="n">
        <v>32662.21</v>
      </c>
      <c r="I66" s="20" t="n">
        <v>19037.09</v>
      </c>
      <c r="J66" s="20" t="n">
        <v>13625.12</v>
      </c>
      <c r="K66" s="21" t="n">
        <v>0.417152463017746</v>
      </c>
      <c r="L66" s="19" t="n">
        <v>36</v>
      </c>
      <c r="M66" s="19" t="n">
        <v>12</v>
      </c>
      <c r="N66" s="21" t="n">
        <v>0.333333333333333</v>
      </c>
    </row>
    <row r="67" customFormat="false" ht="15" hidden="false" customHeight="false" outlineLevel="0" collapsed="false">
      <c r="A67" s="19" t="s">
        <v>47</v>
      </c>
      <c r="B67" s="19" t="s">
        <v>45</v>
      </c>
      <c r="C67" s="19" t="s">
        <v>32</v>
      </c>
      <c r="D67" s="19" t="s">
        <v>30</v>
      </c>
      <c r="E67" s="19" t="s">
        <v>29</v>
      </c>
      <c r="F67" s="19" t="n">
        <v>11</v>
      </c>
      <c r="G67" s="20" t="n">
        <v>1202.56</v>
      </c>
      <c r="H67" s="20" t="n">
        <v>13228.21</v>
      </c>
      <c r="I67" s="20" t="n">
        <v>7717.05</v>
      </c>
      <c r="J67" s="20" t="n">
        <v>5511.15</v>
      </c>
      <c r="K67" s="21" t="n">
        <v>0.416621419178854</v>
      </c>
      <c r="L67" s="19" t="n">
        <v>35</v>
      </c>
      <c r="M67" s="19" t="n">
        <v>8</v>
      </c>
      <c r="N67" s="21" t="n">
        <v>0.228571428571429</v>
      </c>
    </row>
    <row r="68" customFormat="false" ht="15" hidden="false" customHeight="false" outlineLevel="0" collapsed="false">
      <c r="A68" s="19" t="s">
        <v>47</v>
      </c>
      <c r="B68" s="19" t="s">
        <v>45</v>
      </c>
      <c r="C68" s="19" t="s">
        <v>37</v>
      </c>
      <c r="D68" s="19" t="s">
        <v>35</v>
      </c>
      <c r="E68" s="19" t="s">
        <v>38</v>
      </c>
      <c r="F68" s="19" t="n">
        <v>15</v>
      </c>
      <c r="G68" s="20" t="n">
        <v>892.06</v>
      </c>
      <c r="H68" s="20" t="n">
        <v>13380.86</v>
      </c>
      <c r="I68" s="20" t="n">
        <v>7036.04</v>
      </c>
      <c r="J68" s="20" t="n">
        <v>6344.81</v>
      </c>
      <c r="K68" s="21" t="n">
        <v>0.474170944575492</v>
      </c>
      <c r="L68" s="19" t="n">
        <v>26</v>
      </c>
      <c r="M68" s="19" t="n">
        <v>11</v>
      </c>
      <c r="N68" s="21" t="n">
        <v>0.423076923076923</v>
      </c>
    </row>
    <row r="69" customFormat="false" ht="15" hidden="false" customHeight="false" outlineLevel="0" collapsed="false">
      <c r="A69" s="19" t="s">
        <v>47</v>
      </c>
      <c r="B69" s="19" t="s">
        <v>45</v>
      </c>
      <c r="C69" s="19" t="s">
        <v>37</v>
      </c>
      <c r="D69" s="19" t="s">
        <v>34</v>
      </c>
      <c r="E69" s="19" t="s">
        <v>36</v>
      </c>
      <c r="F69" s="19" t="n">
        <v>19</v>
      </c>
      <c r="G69" s="20" t="n">
        <v>440.05</v>
      </c>
      <c r="H69" s="20" t="n">
        <v>8360.89</v>
      </c>
      <c r="I69" s="20" t="n">
        <v>4270.54</v>
      </c>
      <c r="J69" s="20" t="n">
        <v>4090.36</v>
      </c>
      <c r="K69" s="21" t="n">
        <v>0.489225010146329</v>
      </c>
      <c r="L69" s="19" t="n">
        <v>28</v>
      </c>
      <c r="M69" s="19" t="n">
        <v>15</v>
      </c>
      <c r="N69" s="21" t="n">
        <v>0.535714285714286</v>
      </c>
    </row>
    <row r="70" customFormat="false" ht="15" hidden="false" customHeight="false" outlineLevel="0" collapsed="false">
      <c r="A70" s="19" t="s">
        <v>47</v>
      </c>
      <c r="B70" s="19" t="s">
        <v>45</v>
      </c>
      <c r="C70" s="19" t="s">
        <v>37</v>
      </c>
      <c r="D70" s="19" t="s">
        <v>26</v>
      </c>
      <c r="E70" s="19" t="s">
        <v>31</v>
      </c>
      <c r="F70" s="19" t="n">
        <v>12</v>
      </c>
      <c r="G70" s="20" t="n">
        <v>1781.09</v>
      </c>
      <c r="H70" s="20" t="n">
        <v>21373.12</v>
      </c>
      <c r="I70" s="20" t="n">
        <v>11507.97</v>
      </c>
      <c r="J70" s="20" t="n">
        <v>9865.15</v>
      </c>
      <c r="K70" s="21" t="n">
        <v>0.461568040139039</v>
      </c>
      <c r="L70" s="19" t="n">
        <v>28</v>
      </c>
      <c r="M70" s="19" t="n">
        <v>10</v>
      </c>
      <c r="N70" s="21" t="n">
        <v>0.357142857142857</v>
      </c>
    </row>
    <row r="71" customFormat="false" ht="15" hidden="false" customHeight="false" outlineLevel="0" collapsed="false">
      <c r="A71" s="19" t="s">
        <v>47</v>
      </c>
      <c r="B71" s="19" t="s">
        <v>45</v>
      </c>
      <c r="C71" s="19" t="s">
        <v>39</v>
      </c>
      <c r="D71" s="19" t="s">
        <v>34</v>
      </c>
      <c r="E71" s="19" t="s">
        <v>38</v>
      </c>
      <c r="F71" s="19" t="n">
        <v>4</v>
      </c>
      <c r="G71" s="20" t="n">
        <v>794.87</v>
      </c>
      <c r="H71" s="20" t="n">
        <v>3179.46</v>
      </c>
      <c r="I71" s="20" t="n">
        <v>1852.9</v>
      </c>
      <c r="J71" s="20" t="n">
        <v>1326.56</v>
      </c>
      <c r="K71" s="21" t="n">
        <v>0.417229232739</v>
      </c>
      <c r="L71" s="19" t="n">
        <v>54</v>
      </c>
      <c r="M71" s="19" t="n">
        <v>4</v>
      </c>
      <c r="N71" s="21" t="n">
        <v>0.0740740740740741</v>
      </c>
    </row>
    <row r="72" customFormat="false" ht="15" hidden="false" customHeight="false" outlineLevel="0" collapsed="false">
      <c r="A72" s="19" t="s">
        <v>47</v>
      </c>
      <c r="B72" s="19" t="s">
        <v>45</v>
      </c>
      <c r="C72" s="19" t="s">
        <v>39</v>
      </c>
      <c r="D72" s="19" t="s">
        <v>41</v>
      </c>
      <c r="E72" s="19" t="s">
        <v>29</v>
      </c>
      <c r="F72" s="19" t="n">
        <v>9</v>
      </c>
      <c r="G72" s="20" t="n">
        <v>1262.21</v>
      </c>
      <c r="H72" s="20" t="n">
        <v>11359.86</v>
      </c>
      <c r="I72" s="20" t="n">
        <v>5622.31</v>
      </c>
      <c r="J72" s="20" t="n">
        <v>5737.54</v>
      </c>
      <c r="K72" s="21" t="n">
        <v>0.505071866800542</v>
      </c>
      <c r="L72" s="19" t="n">
        <v>27</v>
      </c>
      <c r="M72" s="19" t="n">
        <v>4</v>
      </c>
      <c r="N72" s="21" t="n">
        <v>0.148148148148148</v>
      </c>
    </row>
    <row r="73" customFormat="false" ht="15" hidden="false" customHeight="false" outlineLevel="0" collapsed="false">
      <c r="A73" s="19" t="s">
        <v>47</v>
      </c>
      <c r="B73" s="19" t="s">
        <v>45</v>
      </c>
      <c r="C73" s="19" t="s">
        <v>39</v>
      </c>
      <c r="D73" s="19" t="s">
        <v>30</v>
      </c>
      <c r="E73" s="19" t="s">
        <v>29</v>
      </c>
      <c r="F73" s="19" t="n">
        <v>3</v>
      </c>
      <c r="G73" s="20" t="n">
        <v>1108.14</v>
      </c>
      <c r="H73" s="20" t="n">
        <v>3324.43</v>
      </c>
      <c r="I73" s="20" t="n">
        <v>1811.9</v>
      </c>
      <c r="J73" s="20" t="n">
        <v>1512.52</v>
      </c>
      <c r="K73" s="21" t="n">
        <v>0.454972731156239</v>
      </c>
      <c r="L73" s="19" t="n">
        <v>19</v>
      </c>
      <c r="M73" s="19" t="n">
        <v>5</v>
      </c>
      <c r="N73" s="21" t="n">
        <v>0.263157894736842</v>
      </c>
    </row>
    <row r="74" customFormat="false" ht="15" hidden="false" customHeight="false" outlineLevel="0" collapsed="false">
      <c r="A74" s="19" t="s">
        <v>48</v>
      </c>
      <c r="B74" s="19" t="s">
        <v>49</v>
      </c>
      <c r="C74" s="19" t="s">
        <v>25</v>
      </c>
      <c r="D74" s="19" t="s">
        <v>41</v>
      </c>
      <c r="E74" s="19" t="s">
        <v>38</v>
      </c>
      <c r="F74" s="19" t="n">
        <v>14</v>
      </c>
      <c r="G74" s="20" t="n">
        <v>848.57</v>
      </c>
      <c r="H74" s="20" t="n">
        <v>11879.93</v>
      </c>
      <c r="I74" s="20" t="n">
        <v>5925.67</v>
      </c>
      <c r="J74" s="20" t="n">
        <v>5954.26</v>
      </c>
      <c r="K74" s="21" t="n">
        <v>0.501203112084312</v>
      </c>
      <c r="L74" s="19" t="n">
        <v>56</v>
      </c>
      <c r="M74" s="19" t="n">
        <v>2</v>
      </c>
      <c r="N74" s="21" t="n">
        <v>0.0357142857142857</v>
      </c>
    </row>
    <row r="75" customFormat="false" ht="15" hidden="false" customHeight="false" outlineLevel="0" collapsed="false">
      <c r="A75" s="19" t="s">
        <v>48</v>
      </c>
      <c r="B75" s="19" t="s">
        <v>49</v>
      </c>
      <c r="C75" s="19" t="s">
        <v>25</v>
      </c>
      <c r="D75" s="19" t="s">
        <v>30</v>
      </c>
      <c r="E75" s="19" t="s">
        <v>29</v>
      </c>
      <c r="F75" s="19" t="n">
        <v>15</v>
      </c>
      <c r="G75" s="20" t="n">
        <v>1098.78</v>
      </c>
      <c r="H75" s="20" t="n">
        <v>16481.74</v>
      </c>
      <c r="I75" s="20" t="n">
        <v>10067.41</v>
      </c>
      <c r="J75" s="20" t="n">
        <v>6414.33</v>
      </c>
      <c r="K75" s="21" t="n">
        <v>0.389178028765371</v>
      </c>
      <c r="L75" s="19" t="n">
        <v>59</v>
      </c>
      <c r="M75" s="19" t="n">
        <v>18</v>
      </c>
      <c r="N75" s="21" t="n">
        <v>0.305084745762712</v>
      </c>
    </row>
    <row r="76" customFormat="false" ht="15" hidden="false" customHeight="false" outlineLevel="0" collapsed="false">
      <c r="A76" s="19" t="s">
        <v>48</v>
      </c>
      <c r="B76" s="19" t="s">
        <v>49</v>
      </c>
      <c r="C76" s="19" t="s">
        <v>25</v>
      </c>
      <c r="D76" s="19" t="s">
        <v>35</v>
      </c>
      <c r="E76" s="19" t="s">
        <v>36</v>
      </c>
      <c r="F76" s="19" t="n">
        <v>3</v>
      </c>
      <c r="G76" s="20" t="n">
        <v>406.89</v>
      </c>
      <c r="H76" s="20" t="n">
        <v>1220.67</v>
      </c>
      <c r="I76" s="20" t="n">
        <v>773.28</v>
      </c>
      <c r="J76" s="20" t="n">
        <v>447.38</v>
      </c>
      <c r="K76" s="21" t="n">
        <v>0.366505997108912</v>
      </c>
      <c r="L76" s="19" t="n">
        <v>22</v>
      </c>
      <c r="M76" s="19" t="n">
        <v>5</v>
      </c>
      <c r="N76" s="21" t="n">
        <v>0.227272727272727</v>
      </c>
    </row>
    <row r="77" customFormat="false" ht="15" hidden="false" customHeight="false" outlineLevel="0" collapsed="false">
      <c r="A77" s="19" t="s">
        <v>48</v>
      </c>
      <c r="B77" s="19" t="s">
        <v>49</v>
      </c>
      <c r="C77" s="19" t="s">
        <v>32</v>
      </c>
      <c r="D77" s="19" t="s">
        <v>42</v>
      </c>
      <c r="E77" s="19" t="s">
        <v>31</v>
      </c>
      <c r="F77" s="19" t="n">
        <v>19</v>
      </c>
      <c r="G77" s="20" t="n">
        <v>1851.54</v>
      </c>
      <c r="H77" s="20" t="n">
        <v>35179.34</v>
      </c>
      <c r="I77" s="20" t="n">
        <v>22515.06</v>
      </c>
      <c r="J77" s="20" t="n">
        <v>12664.28</v>
      </c>
      <c r="K77" s="21" t="n">
        <v>0.359992078311369</v>
      </c>
      <c r="L77" s="19" t="n">
        <v>43</v>
      </c>
      <c r="M77" s="19" t="n">
        <v>21</v>
      </c>
      <c r="N77" s="21" t="n">
        <v>0.488372093023256</v>
      </c>
    </row>
    <row r="78" customFormat="false" ht="15" hidden="false" customHeight="false" outlineLevel="0" collapsed="false">
      <c r="A78" s="19" t="s">
        <v>48</v>
      </c>
      <c r="B78" s="19" t="s">
        <v>49</v>
      </c>
      <c r="C78" s="19" t="s">
        <v>32</v>
      </c>
      <c r="D78" s="19" t="s">
        <v>41</v>
      </c>
      <c r="E78" s="19" t="s">
        <v>31</v>
      </c>
      <c r="F78" s="19" t="n">
        <v>15</v>
      </c>
      <c r="G78" s="20" t="n">
        <v>1978.51</v>
      </c>
      <c r="H78" s="20" t="n">
        <v>29677.61</v>
      </c>
      <c r="I78" s="20" t="n">
        <v>16606.83</v>
      </c>
      <c r="J78" s="20" t="n">
        <v>13070.78</v>
      </c>
      <c r="K78" s="21" t="n">
        <v>0.440425609877834</v>
      </c>
      <c r="L78" s="19" t="n">
        <v>25</v>
      </c>
      <c r="M78" s="19" t="n">
        <v>17</v>
      </c>
      <c r="N78" s="21" t="n">
        <v>0.68</v>
      </c>
    </row>
    <row r="79" customFormat="false" ht="15" hidden="false" customHeight="false" outlineLevel="0" collapsed="false">
      <c r="A79" s="19" t="s">
        <v>48</v>
      </c>
      <c r="B79" s="19" t="s">
        <v>49</v>
      </c>
      <c r="C79" s="19" t="s">
        <v>32</v>
      </c>
      <c r="D79" s="19" t="s">
        <v>33</v>
      </c>
      <c r="E79" s="19" t="s">
        <v>36</v>
      </c>
      <c r="F79" s="19" t="n">
        <v>10</v>
      </c>
      <c r="G79" s="20" t="n">
        <v>430.21</v>
      </c>
      <c r="H79" s="20" t="n">
        <v>4302.13</v>
      </c>
      <c r="I79" s="20" t="n">
        <v>2658.6</v>
      </c>
      <c r="J79" s="20" t="n">
        <v>1643.53</v>
      </c>
      <c r="K79" s="21" t="n">
        <v>0.382027422431616</v>
      </c>
      <c r="L79" s="19" t="n">
        <v>32</v>
      </c>
      <c r="M79" s="19" t="n">
        <v>10</v>
      </c>
      <c r="N79" s="21" t="n">
        <v>0.3125</v>
      </c>
    </row>
    <row r="80" customFormat="false" ht="15" hidden="false" customHeight="false" outlineLevel="0" collapsed="false">
      <c r="A80" s="19" t="s">
        <v>48</v>
      </c>
      <c r="B80" s="19" t="s">
        <v>49</v>
      </c>
      <c r="C80" s="19" t="s">
        <v>37</v>
      </c>
      <c r="D80" s="19" t="s">
        <v>34</v>
      </c>
      <c r="E80" s="19" t="s">
        <v>27</v>
      </c>
      <c r="F80" s="19" t="n">
        <v>16</v>
      </c>
      <c r="G80" s="20" t="n">
        <v>2183.11</v>
      </c>
      <c r="H80" s="20" t="n">
        <v>34929.8</v>
      </c>
      <c r="I80" s="20" t="n">
        <v>17714.5</v>
      </c>
      <c r="J80" s="20" t="n">
        <v>17215.3</v>
      </c>
      <c r="K80" s="21" t="n">
        <v>0.49285436982737</v>
      </c>
      <c r="L80" s="19" t="n">
        <v>32</v>
      </c>
      <c r="M80" s="19" t="n">
        <v>12</v>
      </c>
      <c r="N80" s="21" t="n">
        <v>0.375</v>
      </c>
    </row>
    <row r="81" customFormat="false" ht="15" hidden="false" customHeight="false" outlineLevel="0" collapsed="false">
      <c r="A81" s="19" t="s">
        <v>48</v>
      </c>
      <c r="B81" s="19" t="s">
        <v>49</v>
      </c>
      <c r="C81" s="19" t="s">
        <v>37</v>
      </c>
      <c r="D81" s="19" t="s">
        <v>30</v>
      </c>
      <c r="E81" s="19" t="s">
        <v>27</v>
      </c>
      <c r="F81" s="19" t="n">
        <v>19</v>
      </c>
      <c r="G81" s="20" t="n">
        <v>2185.43</v>
      </c>
      <c r="H81" s="20" t="n">
        <v>41523.23</v>
      </c>
      <c r="I81" s="20" t="n">
        <v>19938.05</v>
      </c>
      <c r="J81" s="20" t="n">
        <v>21585.18</v>
      </c>
      <c r="K81" s="21" t="n">
        <v>0.519833868397383</v>
      </c>
      <c r="L81" s="19" t="n">
        <v>39</v>
      </c>
      <c r="M81" s="19" t="n">
        <v>6</v>
      </c>
      <c r="N81" s="21" t="n">
        <v>0.153846153846154</v>
      </c>
    </row>
    <row r="82" customFormat="false" ht="15" hidden="false" customHeight="false" outlineLevel="0" collapsed="false">
      <c r="A82" s="19" t="s">
        <v>48</v>
      </c>
      <c r="B82" s="19" t="s">
        <v>49</v>
      </c>
      <c r="C82" s="19" t="s">
        <v>37</v>
      </c>
      <c r="D82" s="19" t="s">
        <v>26</v>
      </c>
      <c r="E82" s="19" t="s">
        <v>38</v>
      </c>
      <c r="F82" s="19" t="n">
        <v>4</v>
      </c>
      <c r="G82" s="20" t="n">
        <v>828.29</v>
      </c>
      <c r="H82" s="20" t="n">
        <v>3313.17</v>
      </c>
      <c r="I82" s="20" t="n">
        <v>1710.18</v>
      </c>
      <c r="J82" s="20" t="n">
        <v>1602.99</v>
      </c>
      <c r="K82" s="21" t="n">
        <v>0.483823721792383</v>
      </c>
      <c r="L82" s="19" t="n">
        <v>44</v>
      </c>
      <c r="M82" s="19" t="n">
        <v>5</v>
      </c>
      <c r="N82" s="21" t="n">
        <v>0.113636363636364</v>
      </c>
    </row>
    <row r="83" customFormat="false" ht="15" hidden="false" customHeight="false" outlineLevel="0" collapsed="false">
      <c r="A83" s="19" t="s">
        <v>48</v>
      </c>
      <c r="B83" s="19" t="s">
        <v>49</v>
      </c>
      <c r="C83" s="19" t="s">
        <v>39</v>
      </c>
      <c r="D83" s="19" t="s">
        <v>28</v>
      </c>
      <c r="E83" s="19" t="s">
        <v>36</v>
      </c>
      <c r="F83" s="19" t="n">
        <v>20</v>
      </c>
      <c r="G83" s="20" t="n">
        <v>453.53</v>
      </c>
      <c r="H83" s="20" t="n">
        <v>9070.55</v>
      </c>
      <c r="I83" s="20" t="n">
        <v>4117.18</v>
      </c>
      <c r="J83" s="20" t="n">
        <v>4953.37</v>
      </c>
      <c r="K83" s="21" t="n">
        <v>0.546093608652455</v>
      </c>
      <c r="L83" s="19" t="n">
        <v>51</v>
      </c>
      <c r="M83" s="19" t="n">
        <v>14</v>
      </c>
      <c r="N83" s="21" t="n">
        <v>0.274509803921569</v>
      </c>
    </row>
    <row r="84" customFormat="false" ht="15" hidden="false" customHeight="false" outlineLevel="0" collapsed="false">
      <c r="A84" s="19" t="s">
        <v>48</v>
      </c>
      <c r="B84" s="19" t="s">
        <v>49</v>
      </c>
      <c r="C84" s="19" t="s">
        <v>39</v>
      </c>
      <c r="D84" s="19" t="s">
        <v>26</v>
      </c>
      <c r="E84" s="19" t="s">
        <v>36</v>
      </c>
      <c r="F84" s="19" t="n">
        <v>2</v>
      </c>
      <c r="G84" s="20" t="n">
        <v>453.13</v>
      </c>
      <c r="H84" s="20" t="n">
        <v>906.26</v>
      </c>
      <c r="I84" s="20" t="n">
        <v>461.94</v>
      </c>
      <c r="J84" s="20" t="n">
        <v>444.32</v>
      </c>
      <c r="K84" s="21" t="n">
        <v>0.490277469525523</v>
      </c>
      <c r="L84" s="19" t="n">
        <v>39</v>
      </c>
      <c r="M84" s="19" t="n">
        <v>5</v>
      </c>
      <c r="N84" s="21" t="n">
        <v>0.128205128205128</v>
      </c>
    </row>
    <row r="85" customFormat="false" ht="15" hidden="false" customHeight="false" outlineLevel="0" collapsed="false">
      <c r="A85" s="19" t="s">
        <v>48</v>
      </c>
      <c r="B85" s="19" t="s">
        <v>49</v>
      </c>
      <c r="C85" s="19" t="s">
        <v>39</v>
      </c>
      <c r="D85" s="19" t="s">
        <v>33</v>
      </c>
      <c r="E85" s="19" t="s">
        <v>31</v>
      </c>
      <c r="F85" s="19" t="n">
        <v>19</v>
      </c>
      <c r="G85" s="20" t="n">
        <v>1961.93</v>
      </c>
      <c r="H85" s="20" t="n">
        <v>37276.65</v>
      </c>
      <c r="I85" s="20" t="n">
        <v>23467.97</v>
      </c>
      <c r="J85" s="20" t="n">
        <v>13808.68</v>
      </c>
      <c r="K85" s="21" t="n">
        <v>0.370437730520161</v>
      </c>
      <c r="L85" s="19" t="n">
        <v>46</v>
      </c>
      <c r="M85" s="19" t="n">
        <v>9</v>
      </c>
      <c r="N85" s="21" t="n">
        <v>0.195652173913044</v>
      </c>
    </row>
    <row r="86" customFormat="false" ht="15" hidden="false" customHeight="false" outlineLevel="0" collapsed="false">
      <c r="A86" s="19" t="s">
        <v>50</v>
      </c>
      <c r="B86" s="19" t="s">
        <v>49</v>
      </c>
      <c r="C86" s="19" t="s">
        <v>25</v>
      </c>
      <c r="D86" s="19" t="s">
        <v>35</v>
      </c>
      <c r="E86" s="19" t="s">
        <v>29</v>
      </c>
      <c r="F86" s="19" t="n">
        <v>14</v>
      </c>
      <c r="G86" s="20" t="n">
        <v>1141.01</v>
      </c>
      <c r="H86" s="20" t="n">
        <v>15974.09</v>
      </c>
      <c r="I86" s="20" t="n">
        <v>9358.08</v>
      </c>
      <c r="J86" s="20" t="n">
        <v>6616.02</v>
      </c>
      <c r="K86" s="21" t="n">
        <v>0.41417162299433</v>
      </c>
      <c r="L86" s="19" t="n">
        <v>40</v>
      </c>
      <c r="M86" s="19" t="n">
        <v>7</v>
      </c>
      <c r="N86" s="21" t="n">
        <v>0.175</v>
      </c>
    </row>
    <row r="87" customFormat="false" ht="15" hidden="false" customHeight="false" outlineLevel="0" collapsed="false">
      <c r="A87" s="19" t="s">
        <v>50</v>
      </c>
      <c r="B87" s="19" t="s">
        <v>49</v>
      </c>
      <c r="C87" s="19" t="s">
        <v>25</v>
      </c>
      <c r="D87" s="19" t="s">
        <v>33</v>
      </c>
      <c r="E87" s="19" t="s">
        <v>36</v>
      </c>
      <c r="F87" s="19" t="n">
        <v>6</v>
      </c>
      <c r="G87" s="20" t="n">
        <v>457.69</v>
      </c>
      <c r="H87" s="20" t="n">
        <v>2746.12</v>
      </c>
      <c r="I87" s="20" t="n">
        <v>1529.11</v>
      </c>
      <c r="J87" s="20" t="n">
        <v>1217.01</v>
      </c>
      <c r="K87" s="21" t="n">
        <v>0.443175274093499</v>
      </c>
      <c r="L87" s="19" t="n">
        <v>40</v>
      </c>
      <c r="M87" s="19" t="n">
        <v>2</v>
      </c>
      <c r="N87" s="21" t="n">
        <v>0.05</v>
      </c>
    </row>
    <row r="88" customFormat="false" ht="15" hidden="false" customHeight="false" outlineLevel="0" collapsed="false">
      <c r="A88" s="19" t="s">
        <v>50</v>
      </c>
      <c r="B88" s="19" t="s">
        <v>49</v>
      </c>
      <c r="C88" s="19" t="s">
        <v>25</v>
      </c>
      <c r="D88" s="19" t="s">
        <v>41</v>
      </c>
      <c r="E88" s="19" t="s">
        <v>29</v>
      </c>
      <c r="F88" s="19" t="n">
        <v>15</v>
      </c>
      <c r="G88" s="20" t="n">
        <v>1068.85</v>
      </c>
      <c r="H88" s="20" t="n">
        <v>16032.78</v>
      </c>
      <c r="I88" s="20" t="n">
        <v>8695.21</v>
      </c>
      <c r="J88" s="20" t="n">
        <v>7337.57</v>
      </c>
      <c r="K88" s="21" t="n">
        <v>0.457660311189698</v>
      </c>
      <c r="L88" s="19" t="n">
        <v>18</v>
      </c>
      <c r="M88" s="19" t="n">
        <v>10</v>
      </c>
      <c r="N88" s="21" t="n">
        <v>0.555555555555556</v>
      </c>
    </row>
    <row r="89" customFormat="false" ht="15" hidden="false" customHeight="false" outlineLevel="0" collapsed="false">
      <c r="A89" s="19" t="s">
        <v>50</v>
      </c>
      <c r="B89" s="19" t="s">
        <v>49</v>
      </c>
      <c r="C89" s="19" t="s">
        <v>32</v>
      </c>
      <c r="D89" s="19" t="s">
        <v>41</v>
      </c>
      <c r="E89" s="19" t="s">
        <v>36</v>
      </c>
      <c r="F89" s="19" t="n">
        <v>12</v>
      </c>
      <c r="G89" s="20" t="n">
        <v>380.5</v>
      </c>
      <c r="H89" s="20" t="n">
        <v>4566</v>
      </c>
      <c r="I89" s="20" t="n">
        <v>2857.99</v>
      </c>
      <c r="J89" s="20" t="n">
        <v>1708.01</v>
      </c>
      <c r="K89" s="21" t="n">
        <v>0.374072002799621</v>
      </c>
      <c r="L89" s="19" t="n">
        <v>32</v>
      </c>
      <c r="M89" s="19" t="n">
        <v>14</v>
      </c>
      <c r="N89" s="21" t="n">
        <v>0.4375</v>
      </c>
    </row>
    <row r="90" customFormat="false" ht="15" hidden="false" customHeight="false" outlineLevel="0" collapsed="false">
      <c r="A90" s="19" t="s">
        <v>50</v>
      </c>
      <c r="B90" s="19" t="s">
        <v>49</v>
      </c>
      <c r="C90" s="19" t="s">
        <v>32</v>
      </c>
      <c r="D90" s="19" t="s">
        <v>42</v>
      </c>
      <c r="E90" s="19" t="s">
        <v>36</v>
      </c>
      <c r="F90" s="19" t="n">
        <v>10</v>
      </c>
      <c r="G90" s="20" t="n">
        <v>440.19</v>
      </c>
      <c r="H90" s="20" t="n">
        <v>4401.89</v>
      </c>
      <c r="I90" s="20" t="n">
        <v>2394.9</v>
      </c>
      <c r="J90" s="20" t="n">
        <v>2006.99</v>
      </c>
      <c r="K90" s="21" t="n">
        <v>0.455938632757391</v>
      </c>
      <c r="L90" s="19" t="n">
        <v>49</v>
      </c>
      <c r="M90" s="19" t="n">
        <v>2</v>
      </c>
      <c r="N90" s="21" t="n">
        <v>0.0408163265306122</v>
      </c>
    </row>
    <row r="91" customFormat="false" ht="15" hidden="false" customHeight="false" outlineLevel="0" collapsed="false">
      <c r="A91" s="19" t="s">
        <v>50</v>
      </c>
      <c r="B91" s="19" t="s">
        <v>49</v>
      </c>
      <c r="C91" s="19" t="s">
        <v>32</v>
      </c>
      <c r="D91" s="19" t="s">
        <v>26</v>
      </c>
      <c r="E91" s="19" t="s">
        <v>27</v>
      </c>
      <c r="F91" s="19" t="n">
        <v>9</v>
      </c>
      <c r="G91" s="20" t="n">
        <v>2612.61</v>
      </c>
      <c r="H91" s="20" t="n">
        <v>23513.47</v>
      </c>
      <c r="I91" s="20" t="n">
        <v>14254.96</v>
      </c>
      <c r="J91" s="20" t="n">
        <v>9258.51</v>
      </c>
      <c r="K91" s="21" t="n">
        <v>0.393753390077821</v>
      </c>
      <c r="L91" s="19" t="n">
        <v>56</v>
      </c>
      <c r="M91" s="19" t="n">
        <v>2</v>
      </c>
      <c r="N91" s="21" t="n">
        <v>0.0357142857142857</v>
      </c>
    </row>
    <row r="92" customFormat="false" ht="15" hidden="false" customHeight="false" outlineLevel="0" collapsed="false">
      <c r="A92" s="19" t="s">
        <v>50</v>
      </c>
      <c r="B92" s="19" t="s">
        <v>49</v>
      </c>
      <c r="C92" s="19" t="s">
        <v>37</v>
      </c>
      <c r="D92" s="19" t="s">
        <v>28</v>
      </c>
      <c r="E92" s="19" t="s">
        <v>29</v>
      </c>
      <c r="F92" s="19" t="n">
        <v>6</v>
      </c>
      <c r="G92" s="20" t="n">
        <v>1105.88</v>
      </c>
      <c r="H92" s="20" t="n">
        <v>6635.26</v>
      </c>
      <c r="I92" s="20" t="n">
        <v>3614.31</v>
      </c>
      <c r="J92" s="20" t="n">
        <v>3020.95</v>
      </c>
      <c r="K92" s="21" t="n">
        <v>0.455287787810774</v>
      </c>
      <c r="L92" s="19" t="n">
        <v>22</v>
      </c>
      <c r="M92" s="19" t="n">
        <v>5</v>
      </c>
      <c r="N92" s="21" t="n">
        <v>0.227272727272727</v>
      </c>
    </row>
    <row r="93" customFormat="false" ht="15" hidden="false" customHeight="false" outlineLevel="0" collapsed="false">
      <c r="A93" s="19" t="s">
        <v>50</v>
      </c>
      <c r="B93" s="19" t="s">
        <v>49</v>
      </c>
      <c r="C93" s="19" t="s">
        <v>37</v>
      </c>
      <c r="D93" s="19" t="s">
        <v>26</v>
      </c>
      <c r="E93" s="19" t="s">
        <v>36</v>
      </c>
      <c r="F93" s="19" t="n">
        <v>10</v>
      </c>
      <c r="G93" s="20" t="n">
        <v>432.03</v>
      </c>
      <c r="H93" s="20" t="n">
        <v>4320.28</v>
      </c>
      <c r="I93" s="20" t="n">
        <v>2089.1</v>
      </c>
      <c r="J93" s="20" t="n">
        <v>2231.17</v>
      </c>
      <c r="K93" s="21" t="n">
        <v>0.51644217132644</v>
      </c>
      <c r="L93" s="19" t="n">
        <v>53</v>
      </c>
      <c r="M93" s="19" t="n">
        <v>13</v>
      </c>
      <c r="N93" s="21" t="n">
        <v>0.245283018867925</v>
      </c>
    </row>
    <row r="94" customFormat="false" ht="15" hidden="false" customHeight="false" outlineLevel="0" collapsed="false">
      <c r="A94" s="19" t="s">
        <v>50</v>
      </c>
      <c r="B94" s="19" t="s">
        <v>49</v>
      </c>
      <c r="C94" s="19" t="s">
        <v>37</v>
      </c>
      <c r="D94" s="19" t="s">
        <v>41</v>
      </c>
      <c r="E94" s="19" t="s">
        <v>29</v>
      </c>
      <c r="F94" s="19" t="n">
        <v>7</v>
      </c>
      <c r="G94" s="20" t="n">
        <v>1367.3</v>
      </c>
      <c r="H94" s="20" t="n">
        <v>9571.1</v>
      </c>
      <c r="I94" s="20" t="n">
        <v>4513.92</v>
      </c>
      <c r="J94" s="20" t="n">
        <v>5057.18</v>
      </c>
      <c r="K94" s="21" t="n">
        <v>0.528380250068479</v>
      </c>
      <c r="L94" s="19" t="n">
        <v>16</v>
      </c>
      <c r="M94" s="19" t="n">
        <v>6</v>
      </c>
      <c r="N94" s="21" t="n">
        <v>0.375</v>
      </c>
    </row>
    <row r="95" customFormat="false" ht="15" hidden="false" customHeight="false" outlineLevel="0" collapsed="false">
      <c r="A95" s="19" t="s">
        <v>50</v>
      </c>
      <c r="B95" s="19" t="s">
        <v>49</v>
      </c>
      <c r="C95" s="19" t="s">
        <v>39</v>
      </c>
      <c r="D95" s="19" t="s">
        <v>41</v>
      </c>
      <c r="E95" s="19" t="s">
        <v>38</v>
      </c>
      <c r="F95" s="19" t="n">
        <v>4</v>
      </c>
      <c r="G95" s="20" t="n">
        <v>873.48</v>
      </c>
      <c r="H95" s="20" t="n">
        <v>3493.94</v>
      </c>
      <c r="I95" s="20" t="n">
        <v>2152.67</v>
      </c>
      <c r="J95" s="20" t="n">
        <v>1341.27</v>
      </c>
      <c r="K95" s="21" t="n">
        <v>0.383885673243936</v>
      </c>
      <c r="L95" s="19" t="n">
        <v>30</v>
      </c>
      <c r="M95" s="19" t="n">
        <v>2</v>
      </c>
      <c r="N95" s="21" t="n">
        <v>0.0666666666666667</v>
      </c>
    </row>
    <row r="96" customFormat="false" ht="15" hidden="false" customHeight="false" outlineLevel="0" collapsed="false">
      <c r="A96" s="19" t="s">
        <v>50</v>
      </c>
      <c r="B96" s="19" t="s">
        <v>49</v>
      </c>
      <c r="C96" s="19" t="s">
        <v>39</v>
      </c>
      <c r="D96" s="19" t="s">
        <v>33</v>
      </c>
      <c r="E96" s="19" t="s">
        <v>27</v>
      </c>
      <c r="F96" s="19" t="n">
        <v>5</v>
      </c>
      <c r="G96" s="20" t="n">
        <v>2722.17</v>
      </c>
      <c r="H96" s="20" t="n">
        <v>13610.85</v>
      </c>
      <c r="I96" s="20" t="n">
        <v>7665.45</v>
      </c>
      <c r="J96" s="20" t="n">
        <v>5945.4</v>
      </c>
      <c r="K96" s="21" t="n">
        <v>0.436813488926537</v>
      </c>
      <c r="L96" s="19" t="n">
        <v>17</v>
      </c>
      <c r="M96" s="19" t="n">
        <v>4</v>
      </c>
      <c r="N96" s="21" t="n">
        <v>0.235294117647059</v>
      </c>
    </row>
    <row r="97" customFormat="false" ht="15" hidden="false" customHeight="false" outlineLevel="0" collapsed="false">
      <c r="A97" s="19" t="s">
        <v>50</v>
      </c>
      <c r="B97" s="19" t="s">
        <v>49</v>
      </c>
      <c r="C97" s="19" t="s">
        <v>39</v>
      </c>
      <c r="D97" s="19" t="s">
        <v>30</v>
      </c>
      <c r="E97" s="19" t="s">
        <v>31</v>
      </c>
      <c r="F97" s="19" t="n">
        <v>15</v>
      </c>
      <c r="G97" s="20" t="n">
        <v>1887.22</v>
      </c>
      <c r="H97" s="20" t="n">
        <v>28308.32</v>
      </c>
      <c r="I97" s="20" t="n">
        <v>13129.16</v>
      </c>
      <c r="J97" s="20" t="n">
        <v>15179.17</v>
      </c>
      <c r="K97" s="21" t="n">
        <v>0.536208652696072</v>
      </c>
      <c r="L97" s="19" t="n">
        <v>56</v>
      </c>
      <c r="M97" s="19" t="n">
        <v>12</v>
      </c>
      <c r="N97" s="21" t="n">
        <v>0.214285714285714</v>
      </c>
    </row>
    <row r="98" customFormat="false" ht="15" hidden="false" customHeight="false" outlineLevel="0" collapsed="false">
      <c r="A98" s="19" t="s">
        <v>51</v>
      </c>
      <c r="B98" s="19" t="s">
        <v>49</v>
      </c>
      <c r="C98" s="19" t="s">
        <v>25</v>
      </c>
      <c r="D98" s="19" t="s">
        <v>28</v>
      </c>
      <c r="E98" s="19" t="s">
        <v>36</v>
      </c>
      <c r="F98" s="19" t="n">
        <v>5</v>
      </c>
      <c r="G98" s="20" t="n">
        <v>392.02</v>
      </c>
      <c r="H98" s="20" t="n">
        <v>1960.11</v>
      </c>
      <c r="I98" s="20" t="n">
        <v>1024.04</v>
      </c>
      <c r="J98" s="20" t="n">
        <v>936.08</v>
      </c>
      <c r="K98" s="21" t="n">
        <v>0.477562392300986</v>
      </c>
      <c r="L98" s="19" t="n">
        <v>44</v>
      </c>
      <c r="M98" s="19" t="n">
        <v>7</v>
      </c>
      <c r="N98" s="21" t="n">
        <v>0.159090909090909</v>
      </c>
    </row>
    <row r="99" customFormat="false" ht="15" hidden="false" customHeight="false" outlineLevel="0" collapsed="false">
      <c r="A99" s="19" t="s">
        <v>51</v>
      </c>
      <c r="B99" s="19" t="s">
        <v>49</v>
      </c>
      <c r="C99" s="19" t="s">
        <v>25</v>
      </c>
      <c r="D99" s="19" t="s">
        <v>41</v>
      </c>
      <c r="E99" s="19" t="s">
        <v>38</v>
      </c>
      <c r="F99" s="19" t="n">
        <v>15</v>
      </c>
      <c r="G99" s="20" t="n">
        <v>767.41</v>
      </c>
      <c r="H99" s="20" t="n">
        <v>11511.22</v>
      </c>
      <c r="I99" s="20" t="n">
        <v>6381.24</v>
      </c>
      <c r="J99" s="20" t="n">
        <v>5129.98</v>
      </c>
      <c r="K99" s="21" t="n">
        <v>0.445650650612304</v>
      </c>
      <c r="L99" s="19" t="n">
        <v>56</v>
      </c>
      <c r="M99" s="19" t="n">
        <v>10</v>
      </c>
      <c r="N99" s="21" t="n">
        <v>0.178571428571429</v>
      </c>
    </row>
    <row r="100" customFormat="false" ht="15" hidden="false" customHeight="false" outlineLevel="0" collapsed="false">
      <c r="A100" s="19" t="s">
        <v>51</v>
      </c>
      <c r="B100" s="19" t="s">
        <v>49</v>
      </c>
      <c r="C100" s="19" t="s">
        <v>25</v>
      </c>
      <c r="D100" s="19" t="s">
        <v>33</v>
      </c>
      <c r="E100" s="19" t="s">
        <v>31</v>
      </c>
      <c r="F100" s="19" t="n">
        <v>19</v>
      </c>
      <c r="G100" s="20" t="n">
        <v>1948.31</v>
      </c>
      <c r="H100" s="20" t="n">
        <v>37017.82</v>
      </c>
      <c r="I100" s="20" t="n">
        <v>20099.74</v>
      </c>
      <c r="J100" s="20" t="n">
        <v>16918.08</v>
      </c>
      <c r="K100" s="21" t="n">
        <v>0.457025245673098</v>
      </c>
      <c r="L100" s="19" t="n">
        <v>52</v>
      </c>
      <c r="M100" s="19" t="n">
        <v>10</v>
      </c>
      <c r="N100" s="21" t="n">
        <v>0.192307692307692</v>
      </c>
    </row>
    <row r="101" customFormat="false" ht="15" hidden="false" customHeight="false" outlineLevel="0" collapsed="false">
      <c r="A101" s="19" t="s">
        <v>51</v>
      </c>
      <c r="B101" s="19" t="s">
        <v>49</v>
      </c>
      <c r="C101" s="19" t="s">
        <v>32</v>
      </c>
      <c r="D101" s="19" t="s">
        <v>30</v>
      </c>
      <c r="E101" s="19" t="s">
        <v>29</v>
      </c>
      <c r="F101" s="19" t="n">
        <v>10</v>
      </c>
      <c r="G101" s="20" t="n">
        <v>1337.39</v>
      </c>
      <c r="H101" s="20" t="n">
        <v>13373.87</v>
      </c>
      <c r="I101" s="20" t="n">
        <v>6670.52</v>
      </c>
      <c r="J101" s="20" t="n">
        <v>6703.35</v>
      </c>
      <c r="K101" s="21" t="n">
        <v>0.501227312161809</v>
      </c>
      <c r="L101" s="19" t="n">
        <v>44</v>
      </c>
      <c r="M101" s="19" t="n">
        <v>11</v>
      </c>
      <c r="N101" s="21" t="n">
        <v>0.25</v>
      </c>
    </row>
    <row r="102" customFormat="false" ht="15" hidden="false" customHeight="false" outlineLevel="0" collapsed="false">
      <c r="A102" s="19" t="s">
        <v>51</v>
      </c>
      <c r="B102" s="19" t="s">
        <v>49</v>
      </c>
      <c r="C102" s="19" t="s">
        <v>32</v>
      </c>
      <c r="D102" s="19" t="s">
        <v>41</v>
      </c>
      <c r="E102" s="19" t="s">
        <v>31</v>
      </c>
      <c r="F102" s="19" t="n">
        <v>14</v>
      </c>
      <c r="G102" s="20" t="n">
        <v>1711.65</v>
      </c>
      <c r="H102" s="20" t="n">
        <v>23963.16</v>
      </c>
      <c r="I102" s="20" t="n">
        <v>13152.45</v>
      </c>
      <c r="J102" s="20" t="n">
        <v>10810.71</v>
      </c>
      <c r="K102" s="21" t="n">
        <v>0.451138699276816</v>
      </c>
      <c r="L102" s="19" t="n">
        <v>35</v>
      </c>
      <c r="M102" s="19" t="n">
        <v>7</v>
      </c>
      <c r="N102" s="21" t="n">
        <v>0.2</v>
      </c>
    </row>
    <row r="103" customFormat="false" ht="15" hidden="false" customHeight="false" outlineLevel="0" collapsed="false">
      <c r="A103" s="19" t="s">
        <v>51</v>
      </c>
      <c r="B103" s="19" t="s">
        <v>49</v>
      </c>
      <c r="C103" s="19" t="s">
        <v>32</v>
      </c>
      <c r="D103" s="19" t="s">
        <v>26</v>
      </c>
      <c r="E103" s="19" t="s">
        <v>36</v>
      </c>
      <c r="F103" s="19" t="n">
        <v>8</v>
      </c>
      <c r="G103" s="20" t="n">
        <v>382.58</v>
      </c>
      <c r="H103" s="20" t="n">
        <v>3060.63</v>
      </c>
      <c r="I103" s="20" t="n">
        <v>1535.43</v>
      </c>
      <c r="J103" s="20" t="n">
        <v>1525.2</v>
      </c>
      <c r="K103" s="21" t="n">
        <v>0.498329518228264</v>
      </c>
      <c r="L103" s="19" t="n">
        <v>32</v>
      </c>
      <c r="M103" s="19" t="n">
        <v>11</v>
      </c>
      <c r="N103" s="21" t="n">
        <v>0.34375</v>
      </c>
    </row>
    <row r="104" customFormat="false" ht="15" hidden="false" customHeight="false" outlineLevel="0" collapsed="false">
      <c r="A104" s="19" t="s">
        <v>51</v>
      </c>
      <c r="B104" s="19" t="s">
        <v>49</v>
      </c>
      <c r="C104" s="19" t="s">
        <v>37</v>
      </c>
      <c r="D104" s="19" t="s">
        <v>35</v>
      </c>
      <c r="E104" s="19" t="s">
        <v>31</v>
      </c>
      <c r="F104" s="19" t="n">
        <v>8</v>
      </c>
      <c r="G104" s="20" t="n">
        <v>1576.23</v>
      </c>
      <c r="H104" s="20" t="n">
        <v>12609.85</v>
      </c>
      <c r="I104" s="20" t="n">
        <v>7490.44</v>
      </c>
      <c r="J104" s="20" t="n">
        <v>5119.41</v>
      </c>
      <c r="K104" s="21" t="n">
        <v>0.405985067179161</v>
      </c>
      <c r="L104" s="19" t="n">
        <v>46</v>
      </c>
      <c r="M104" s="19" t="n">
        <v>10</v>
      </c>
      <c r="N104" s="21" t="n">
        <v>0.217391304347826</v>
      </c>
    </row>
    <row r="105" customFormat="false" ht="15" hidden="false" customHeight="false" outlineLevel="0" collapsed="false">
      <c r="A105" s="19" t="s">
        <v>51</v>
      </c>
      <c r="B105" s="19" t="s">
        <v>49</v>
      </c>
      <c r="C105" s="19" t="s">
        <v>37</v>
      </c>
      <c r="D105" s="19" t="s">
        <v>34</v>
      </c>
      <c r="E105" s="19" t="s">
        <v>38</v>
      </c>
      <c r="F105" s="19" t="n">
        <v>17</v>
      </c>
      <c r="G105" s="20" t="n">
        <v>887.21</v>
      </c>
      <c r="H105" s="20" t="n">
        <v>15082.49</v>
      </c>
      <c r="I105" s="20" t="n">
        <v>8267.68</v>
      </c>
      <c r="J105" s="20" t="n">
        <v>6814.81</v>
      </c>
      <c r="K105" s="21" t="n">
        <v>0.451835732984283</v>
      </c>
      <c r="L105" s="19" t="n">
        <v>16</v>
      </c>
      <c r="M105" s="19" t="n">
        <v>3</v>
      </c>
      <c r="N105" s="21" t="n">
        <v>0.1875</v>
      </c>
    </row>
    <row r="106" customFormat="false" ht="15" hidden="false" customHeight="false" outlineLevel="0" collapsed="false">
      <c r="A106" s="19" t="s">
        <v>51</v>
      </c>
      <c r="B106" s="19" t="s">
        <v>49</v>
      </c>
      <c r="C106" s="19" t="s">
        <v>37</v>
      </c>
      <c r="D106" s="19" t="s">
        <v>28</v>
      </c>
      <c r="E106" s="19" t="s">
        <v>27</v>
      </c>
      <c r="F106" s="19" t="n">
        <v>9</v>
      </c>
      <c r="G106" s="20" t="n">
        <v>2428.3</v>
      </c>
      <c r="H106" s="20" t="n">
        <v>21854.71</v>
      </c>
      <c r="I106" s="20" t="n">
        <v>10898.09</v>
      </c>
      <c r="J106" s="20" t="n">
        <v>10956.62</v>
      </c>
      <c r="K106" s="21" t="n">
        <v>0.501338967224649</v>
      </c>
      <c r="L106" s="19" t="n">
        <v>57</v>
      </c>
      <c r="M106" s="19" t="n">
        <v>11</v>
      </c>
      <c r="N106" s="21" t="n">
        <v>0.192982456140351</v>
      </c>
    </row>
    <row r="107" customFormat="false" ht="15" hidden="false" customHeight="false" outlineLevel="0" collapsed="false">
      <c r="A107" s="19" t="s">
        <v>51</v>
      </c>
      <c r="B107" s="19" t="s">
        <v>49</v>
      </c>
      <c r="C107" s="19" t="s">
        <v>39</v>
      </c>
      <c r="D107" s="19" t="s">
        <v>30</v>
      </c>
      <c r="E107" s="19" t="s">
        <v>31</v>
      </c>
      <c r="F107" s="19" t="n">
        <v>13</v>
      </c>
      <c r="G107" s="20" t="n">
        <v>1759.77</v>
      </c>
      <c r="H107" s="20" t="n">
        <v>22877.04</v>
      </c>
      <c r="I107" s="20" t="n">
        <v>13707.63</v>
      </c>
      <c r="J107" s="20" t="n">
        <v>9169.41</v>
      </c>
      <c r="K107" s="21" t="n">
        <v>0.400812912657278</v>
      </c>
      <c r="L107" s="19" t="n">
        <v>36</v>
      </c>
      <c r="M107" s="19" t="n">
        <v>7</v>
      </c>
      <c r="N107" s="21" t="n">
        <v>0.194444444444444</v>
      </c>
    </row>
    <row r="108" customFormat="false" ht="15" hidden="false" customHeight="false" outlineLevel="0" collapsed="false">
      <c r="A108" s="19" t="s">
        <v>51</v>
      </c>
      <c r="B108" s="19" t="s">
        <v>49</v>
      </c>
      <c r="C108" s="19" t="s">
        <v>39</v>
      </c>
      <c r="D108" s="19" t="s">
        <v>33</v>
      </c>
      <c r="E108" s="19" t="s">
        <v>36</v>
      </c>
      <c r="F108" s="19" t="n">
        <v>10</v>
      </c>
      <c r="G108" s="20" t="n">
        <v>376.79</v>
      </c>
      <c r="H108" s="20" t="n">
        <v>3767.95</v>
      </c>
      <c r="I108" s="20" t="n">
        <v>1869.31</v>
      </c>
      <c r="J108" s="20" t="n">
        <v>1898.64</v>
      </c>
      <c r="K108" s="21" t="n">
        <v>0.503892391740298</v>
      </c>
      <c r="L108" s="19" t="n">
        <v>27</v>
      </c>
      <c r="M108" s="19" t="n">
        <v>7</v>
      </c>
      <c r="N108" s="21" t="n">
        <v>0.259259259259259</v>
      </c>
    </row>
    <row r="109" customFormat="false" ht="15" hidden="false" customHeight="false" outlineLevel="0" collapsed="false">
      <c r="A109" s="19" t="s">
        <v>51</v>
      </c>
      <c r="B109" s="19" t="s">
        <v>49</v>
      </c>
      <c r="C109" s="19" t="s">
        <v>39</v>
      </c>
      <c r="D109" s="19" t="s">
        <v>35</v>
      </c>
      <c r="E109" s="19" t="s">
        <v>29</v>
      </c>
      <c r="F109" s="19" t="n">
        <v>19</v>
      </c>
      <c r="G109" s="20" t="n">
        <v>1362.32</v>
      </c>
      <c r="H109" s="20" t="n">
        <v>25884</v>
      </c>
      <c r="I109" s="20" t="n">
        <v>15220.64</v>
      </c>
      <c r="J109" s="20" t="n">
        <v>10663.36</v>
      </c>
      <c r="K109" s="21" t="n">
        <v>0.41196728917189</v>
      </c>
      <c r="L109" s="19" t="n">
        <v>27</v>
      </c>
      <c r="M109" s="19" t="n">
        <v>8</v>
      </c>
      <c r="N109" s="21" t="n">
        <v>0.296296296296296</v>
      </c>
    </row>
    <row r="110" customFormat="false" ht="15" hidden="false" customHeight="false" outlineLevel="0" collapsed="false">
      <c r="A110" s="19" t="s">
        <v>52</v>
      </c>
      <c r="B110" s="19" t="s">
        <v>53</v>
      </c>
      <c r="C110" s="19" t="s">
        <v>25</v>
      </c>
      <c r="D110" s="19" t="s">
        <v>34</v>
      </c>
      <c r="E110" s="19" t="s">
        <v>31</v>
      </c>
      <c r="F110" s="19" t="n">
        <v>18</v>
      </c>
      <c r="G110" s="20" t="n">
        <v>1852.27</v>
      </c>
      <c r="H110" s="20" t="n">
        <v>33340.81</v>
      </c>
      <c r="I110" s="20" t="n">
        <v>21541.57</v>
      </c>
      <c r="J110" s="20" t="n">
        <v>11799.24</v>
      </c>
      <c r="K110" s="21" t="n">
        <v>0.353897873907497</v>
      </c>
      <c r="L110" s="19" t="n">
        <v>27</v>
      </c>
      <c r="M110" s="19" t="n">
        <v>11</v>
      </c>
      <c r="N110" s="21" t="n">
        <v>0.407407407407407</v>
      </c>
    </row>
    <row r="111" customFormat="false" ht="15" hidden="false" customHeight="false" outlineLevel="0" collapsed="false">
      <c r="A111" s="19" t="s">
        <v>52</v>
      </c>
      <c r="B111" s="19" t="s">
        <v>53</v>
      </c>
      <c r="C111" s="19" t="s">
        <v>25</v>
      </c>
      <c r="D111" s="19" t="s">
        <v>42</v>
      </c>
      <c r="E111" s="19" t="s">
        <v>38</v>
      </c>
      <c r="F111" s="19" t="n">
        <v>13</v>
      </c>
      <c r="G111" s="20" t="n">
        <v>768.26</v>
      </c>
      <c r="H111" s="20" t="n">
        <v>9987.35</v>
      </c>
      <c r="I111" s="20" t="n">
        <v>4522.57</v>
      </c>
      <c r="J111" s="20" t="n">
        <v>5464.78</v>
      </c>
      <c r="K111" s="21" t="n">
        <v>0.547170326548787</v>
      </c>
      <c r="L111" s="19" t="n">
        <v>49</v>
      </c>
      <c r="M111" s="19" t="n">
        <v>4</v>
      </c>
      <c r="N111" s="21" t="n">
        <v>0.0816326530612245</v>
      </c>
    </row>
    <row r="112" customFormat="false" ht="15" hidden="false" customHeight="false" outlineLevel="0" collapsed="false">
      <c r="A112" s="19" t="s">
        <v>52</v>
      </c>
      <c r="B112" s="19" t="s">
        <v>53</v>
      </c>
      <c r="C112" s="19" t="s">
        <v>25</v>
      </c>
      <c r="D112" s="19" t="s">
        <v>30</v>
      </c>
      <c r="E112" s="19" t="s">
        <v>27</v>
      </c>
      <c r="F112" s="19" t="n">
        <v>3</v>
      </c>
      <c r="G112" s="20" t="n">
        <v>2855.72</v>
      </c>
      <c r="H112" s="20" t="n">
        <v>8567.16</v>
      </c>
      <c r="I112" s="20" t="n">
        <v>4803.37</v>
      </c>
      <c r="J112" s="20" t="n">
        <v>3763.8</v>
      </c>
      <c r="K112" s="21" t="n">
        <v>0.439328206640278</v>
      </c>
      <c r="L112" s="19" t="n">
        <v>59</v>
      </c>
      <c r="M112" s="19" t="n">
        <v>3</v>
      </c>
      <c r="N112" s="21" t="n">
        <v>0.0508474576271187</v>
      </c>
    </row>
    <row r="113" customFormat="false" ht="15" hidden="false" customHeight="false" outlineLevel="0" collapsed="false">
      <c r="A113" s="19" t="s">
        <v>52</v>
      </c>
      <c r="B113" s="19" t="s">
        <v>53</v>
      </c>
      <c r="C113" s="19" t="s">
        <v>32</v>
      </c>
      <c r="D113" s="19" t="s">
        <v>34</v>
      </c>
      <c r="E113" s="19" t="s">
        <v>31</v>
      </c>
      <c r="F113" s="19" t="n">
        <v>11</v>
      </c>
      <c r="G113" s="20" t="n">
        <v>1783.47</v>
      </c>
      <c r="H113" s="20" t="n">
        <v>19618.22</v>
      </c>
      <c r="I113" s="20" t="n">
        <v>10556.44</v>
      </c>
      <c r="J113" s="20" t="n">
        <v>9061.78</v>
      </c>
      <c r="K113" s="21" t="n">
        <v>0.461906240372798</v>
      </c>
      <c r="L113" s="19" t="n">
        <v>26</v>
      </c>
      <c r="M113" s="19" t="n">
        <v>2</v>
      </c>
      <c r="N113" s="21" t="n">
        <v>0.0769230769230769</v>
      </c>
    </row>
    <row r="114" customFormat="false" ht="15" hidden="false" customHeight="false" outlineLevel="0" collapsed="false">
      <c r="A114" s="19" t="s">
        <v>52</v>
      </c>
      <c r="B114" s="19" t="s">
        <v>53</v>
      </c>
      <c r="C114" s="19" t="s">
        <v>32</v>
      </c>
      <c r="D114" s="19" t="s">
        <v>28</v>
      </c>
      <c r="E114" s="19" t="s">
        <v>27</v>
      </c>
      <c r="F114" s="19" t="n">
        <v>17</v>
      </c>
      <c r="G114" s="20" t="n">
        <v>2210.57</v>
      </c>
      <c r="H114" s="20" t="n">
        <v>37579.61</v>
      </c>
      <c r="I114" s="20" t="n">
        <v>17401.94</v>
      </c>
      <c r="J114" s="20" t="n">
        <v>20177.67</v>
      </c>
      <c r="K114" s="21" t="n">
        <v>0.536931312977214</v>
      </c>
      <c r="L114" s="19" t="n">
        <v>46</v>
      </c>
      <c r="M114" s="19" t="n">
        <v>4</v>
      </c>
      <c r="N114" s="21" t="n">
        <v>0.0869565217391304</v>
      </c>
    </row>
    <row r="115" customFormat="false" ht="15" hidden="false" customHeight="false" outlineLevel="0" collapsed="false">
      <c r="A115" s="19" t="s">
        <v>52</v>
      </c>
      <c r="B115" s="19" t="s">
        <v>53</v>
      </c>
      <c r="C115" s="19" t="s">
        <v>32</v>
      </c>
      <c r="D115" s="19" t="s">
        <v>41</v>
      </c>
      <c r="E115" s="19" t="s">
        <v>31</v>
      </c>
      <c r="F115" s="19" t="n">
        <v>3</v>
      </c>
      <c r="G115" s="20" t="n">
        <v>1611.93</v>
      </c>
      <c r="H115" s="20" t="n">
        <v>4835.8</v>
      </c>
      <c r="I115" s="20" t="n">
        <v>2960.61</v>
      </c>
      <c r="J115" s="20" t="n">
        <v>1875.18</v>
      </c>
      <c r="K115" s="21" t="n">
        <v>0.387771584744991</v>
      </c>
      <c r="L115" s="19" t="n">
        <v>34</v>
      </c>
      <c r="M115" s="19" t="n">
        <v>2</v>
      </c>
      <c r="N115" s="21" t="n">
        <v>0.0588235294117647</v>
      </c>
    </row>
    <row r="116" customFormat="false" ht="15" hidden="false" customHeight="false" outlineLevel="0" collapsed="false">
      <c r="A116" s="19" t="s">
        <v>52</v>
      </c>
      <c r="B116" s="19" t="s">
        <v>53</v>
      </c>
      <c r="C116" s="19" t="s">
        <v>37</v>
      </c>
      <c r="D116" s="19" t="s">
        <v>33</v>
      </c>
      <c r="E116" s="19" t="s">
        <v>36</v>
      </c>
      <c r="F116" s="19" t="n">
        <v>9</v>
      </c>
      <c r="G116" s="20" t="n">
        <v>433.08</v>
      </c>
      <c r="H116" s="20" t="n">
        <v>3897.75</v>
      </c>
      <c r="I116" s="20" t="n">
        <v>2050.51</v>
      </c>
      <c r="J116" s="20" t="n">
        <v>1847.24</v>
      </c>
      <c r="K116" s="21" t="n">
        <v>0.47392439477069</v>
      </c>
      <c r="L116" s="19" t="n">
        <v>43</v>
      </c>
      <c r="M116" s="19" t="n">
        <v>6</v>
      </c>
      <c r="N116" s="21" t="n">
        <v>0.13953488372093</v>
      </c>
    </row>
    <row r="117" customFormat="false" ht="15" hidden="false" customHeight="false" outlineLevel="0" collapsed="false">
      <c r="A117" s="19" t="s">
        <v>52</v>
      </c>
      <c r="B117" s="19" t="s">
        <v>53</v>
      </c>
      <c r="C117" s="19" t="s">
        <v>37</v>
      </c>
      <c r="D117" s="19" t="s">
        <v>28</v>
      </c>
      <c r="E117" s="19" t="s">
        <v>31</v>
      </c>
      <c r="F117" s="19" t="n">
        <v>15</v>
      </c>
      <c r="G117" s="20" t="n">
        <v>1694.91</v>
      </c>
      <c r="H117" s="20" t="n">
        <v>25423.58</v>
      </c>
      <c r="I117" s="20" t="n">
        <v>14598.36</v>
      </c>
      <c r="J117" s="20" t="n">
        <v>10825.22</v>
      </c>
      <c r="K117" s="21" t="n">
        <v>0.42579453578557</v>
      </c>
      <c r="L117" s="19" t="n">
        <v>54</v>
      </c>
      <c r="M117" s="19" t="n">
        <v>5</v>
      </c>
      <c r="N117" s="21" t="n">
        <v>0.0925925925925926</v>
      </c>
    </row>
    <row r="118" customFormat="false" ht="15" hidden="false" customHeight="false" outlineLevel="0" collapsed="false">
      <c r="A118" s="19" t="s">
        <v>52</v>
      </c>
      <c r="B118" s="19" t="s">
        <v>53</v>
      </c>
      <c r="C118" s="19" t="s">
        <v>37</v>
      </c>
      <c r="D118" s="19" t="s">
        <v>35</v>
      </c>
      <c r="E118" s="19" t="s">
        <v>38</v>
      </c>
      <c r="F118" s="19" t="n">
        <v>8</v>
      </c>
      <c r="G118" s="20" t="n">
        <v>789.98</v>
      </c>
      <c r="H118" s="20" t="n">
        <v>6319.88</v>
      </c>
      <c r="I118" s="20" t="n">
        <v>2946.56</v>
      </c>
      <c r="J118" s="20" t="n">
        <v>3373.31</v>
      </c>
      <c r="K118" s="21" t="n">
        <v>0.533762506906603</v>
      </c>
      <c r="L118" s="19" t="n">
        <v>30</v>
      </c>
      <c r="M118" s="19" t="n">
        <v>4</v>
      </c>
      <c r="N118" s="21" t="n">
        <v>0.133333333333333</v>
      </c>
    </row>
    <row r="119" customFormat="false" ht="15" hidden="false" customHeight="false" outlineLevel="0" collapsed="false">
      <c r="A119" s="19" t="s">
        <v>52</v>
      </c>
      <c r="B119" s="19" t="s">
        <v>53</v>
      </c>
      <c r="C119" s="19" t="s">
        <v>39</v>
      </c>
      <c r="D119" s="19" t="s">
        <v>26</v>
      </c>
      <c r="E119" s="19" t="s">
        <v>36</v>
      </c>
      <c r="F119" s="19" t="n">
        <v>16</v>
      </c>
      <c r="G119" s="20" t="n">
        <v>422.72</v>
      </c>
      <c r="H119" s="20" t="n">
        <v>6763.59</v>
      </c>
      <c r="I119" s="20" t="n">
        <v>3679.28</v>
      </c>
      <c r="J119" s="20" t="n">
        <v>3084.32</v>
      </c>
      <c r="K119" s="21" t="n">
        <v>0.456017504198463</v>
      </c>
      <c r="L119" s="19" t="n">
        <v>17</v>
      </c>
      <c r="M119" s="19" t="n">
        <v>9</v>
      </c>
      <c r="N119" s="21" t="n">
        <v>0.529411764705882</v>
      </c>
    </row>
    <row r="120" customFormat="false" ht="15" hidden="false" customHeight="false" outlineLevel="0" collapsed="false">
      <c r="A120" s="19" t="s">
        <v>52</v>
      </c>
      <c r="B120" s="19" t="s">
        <v>53</v>
      </c>
      <c r="C120" s="19" t="s">
        <v>39</v>
      </c>
      <c r="D120" s="19" t="s">
        <v>34</v>
      </c>
      <c r="E120" s="19" t="s">
        <v>27</v>
      </c>
      <c r="F120" s="19" t="n">
        <v>11</v>
      </c>
      <c r="G120" s="20" t="n">
        <v>2652.24</v>
      </c>
      <c r="H120" s="20" t="n">
        <v>29174.65</v>
      </c>
      <c r="I120" s="20" t="n">
        <v>15777.83</v>
      </c>
      <c r="J120" s="20" t="n">
        <v>13396.82</v>
      </c>
      <c r="K120" s="21" t="n">
        <v>0.459193734718591</v>
      </c>
      <c r="L120" s="19" t="n">
        <v>58</v>
      </c>
      <c r="M120" s="19" t="n">
        <v>5</v>
      </c>
      <c r="N120" s="21" t="n">
        <v>0.0862068965517241</v>
      </c>
    </row>
    <row r="121" customFormat="false" ht="15" hidden="false" customHeight="false" outlineLevel="0" collapsed="false">
      <c r="A121" s="19" t="s">
        <v>52</v>
      </c>
      <c r="B121" s="19" t="s">
        <v>53</v>
      </c>
      <c r="C121" s="19" t="s">
        <v>39</v>
      </c>
      <c r="D121" s="19" t="s">
        <v>28</v>
      </c>
      <c r="E121" s="19" t="s">
        <v>27</v>
      </c>
      <c r="F121" s="19" t="n">
        <v>20</v>
      </c>
      <c r="G121" s="20" t="n">
        <v>2620.89</v>
      </c>
      <c r="H121" s="20" t="n">
        <v>52417.75</v>
      </c>
      <c r="I121" s="20" t="n">
        <v>33376.14</v>
      </c>
      <c r="J121" s="20" t="n">
        <v>19041.6</v>
      </c>
      <c r="K121" s="21" t="n">
        <v>0.363266308310897</v>
      </c>
      <c r="L121" s="19" t="n">
        <v>42</v>
      </c>
      <c r="M121" s="19" t="n">
        <v>5</v>
      </c>
      <c r="N121" s="21" t="n">
        <v>0.119047619047619</v>
      </c>
    </row>
    <row r="122" customFormat="false" ht="15" hidden="false" customHeight="false" outlineLevel="0" collapsed="false">
      <c r="A122" s="19" t="s">
        <v>54</v>
      </c>
      <c r="B122" s="19" t="s">
        <v>53</v>
      </c>
      <c r="C122" s="19" t="s">
        <v>25</v>
      </c>
      <c r="D122" s="19" t="s">
        <v>33</v>
      </c>
      <c r="E122" s="19" t="s">
        <v>27</v>
      </c>
      <c r="F122" s="19" t="n">
        <v>6</v>
      </c>
      <c r="G122" s="20" t="n">
        <v>2178.56</v>
      </c>
      <c r="H122" s="20" t="n">
        <v>13071.34</v>
      </c>
      <c r="I122" s="20" t="n">
        <v>6315.87</v>
      </c>
      <c r="J122" s="20" t="n">
        <v>6755.47</v>
      </c>
      <c r="K122" s="21" t="n">
        <v>0.516815442155855</v>
      </c>
      <c r="L122" s="19" t="n">
        <v>34</v>
      </c>
      <c r="M122" s="19" t="n">
        <v>6</v>
      </c>
      <c r="N122" s="21" t="n">
        <v>0.176470588235294</v>
      </c>
    </row>
    <row r="123" customFormat="false" ht="15" hidden="false" customHeight="false" outlineLevel="0" collapsed="false">
      <c r="A123" s="19" t="s">
        <v>54</v>
      </c>
      <c r="B123" s="19" t="s">
        <v>53</v>
      </c>
      <c r="C123" s="19" t="s">
        <v>25</v>
      </c>
      <c r="D123" s="19" t="s">
        <v>30</v>
      </c>
      <c r="E123" s="19" t="s">
        <v>36</v>
      </c>
      <c r="F123" s="19" t="n">
        <v>5</v>
      </c>
      <c r="G123" s="20" t="n">
        <v>396.24</v>
      </c>
      <c r="H123" s="20" t="n">
        <v>1981.22</v>
      </c>
      <c r="I123" s="20" t="n">
        <v>1012.04</v>
      </c>
      <c r="J123" s="20" t="n">
        <v>969.18</v>
      </c>
      <c r="K123" s="21" t="n">
        <v>0.489181761891047</v>
      </c>
      <c r="L123" s="19" t="n">
        <v>40</v>
      </c>
      <c r="M123" s="19" t="n">
        <v>4</v>
      </c>
      <c r="N123" s="21" t="n">
        <v>0.1</v>
      </c>
    </row>
    <row r="124" customFormat="false" ht="15" hidden="false" customHeight="false" outlineLevel="0" collapsed="false">
      <c r="A124" s="19" t="s">
        <v>54</v>
      </c>
      <c r="B124" s="19" t="s">
        <v>53</v>
      </c>
      <c r="C124" s="19" t="s">
        <v>25</v>
      </c>
      <c r="D124" s="19" t="s">
        <v>26</v>
      </c>
      <c r="E124" s="19" t="s">
        <v>31</v>
      </c>
      <c r="F124" s="19" t="n">
        <v>19</v>
      </c>
      <c r="G124" s="20" t="n">
        <v>1796.65</v>
      </c>
      <c r="H124" s="20" t="n">
        <v>34136.34</v>
      </c>
      <c r="I124" s="20" t="n">
        <v>15910.55</v>
      </c>
      <c r="J124" s="20" t="n">
        <v>18225.79</v>
      </c>
      <c r="K124" s="21" t="n">
        <v>0.53391162962014</v>
      </c>
      <c r="L124" s="19" t="n">
        <v>17</v>
      </c>
      <c r="M124" s="19" t="n">
        <v>15</v>
      </c>
      <c r="N124" s="21" t="n">
        <v>0.882352941176471</v>
      </c>
    </row>
    <row r="125" customFormat="false" ht="15" hidden="false" customHeight="false" outlineLevel="0" collapsed="false">
      <c r="A125" s="19" t="s">
        <v>54</v>
      </c>
      <c r="B125" s="19" t="s">
        <v>53</v>
      </c>
      <c r="C125" s="19" t="s">
        <v>32</v>
      </c>
      <c r="D125" s="19" t="s">
        <v>30</v>
      </c>
      <c r="E125" s="19" t="s">
        <v>29</v>
      </c>
      <c r="F125" s="19" t="n">
        <v>4</v>
      </c>
      <c r="G125" s="20" t="n">
        <v>1102.41</v>
      </c>
      <c r="H125" s="20" t="n">
        <v>4409.65</v>
      </c>
      <c r="I125" s="20" t="n">
        <v>2579.03</v>
      </c>
      <c r="J125" s="20" t="n">
        <v>1830.62</v>
      </c>
      <c r="K125" s="21" t="n">
        <v>0.415140326565566</v>
      </c>
      <c r="L125" s="19" t="n">
        <v>51</v>
      </c>
      <c r="M125" s="19" t="n">
        <v>6</v>
      </c>
      <c r="N125" s="21" t="n">
        <v>0.117647058823529</v>
      </c>
    </row>
    <row r="126" customFormat="false" ht="15" hidden="false" customHeight="false" outlineLevel="0" collapsed="false">
      <c r="A126" s="19" t="s">
        <v>54</v>
      </c>
      <c r="B126" s="19" t="s">
        <v>53</v>
      </c>
      <c r="C126" s="19" t="s">
        <v>32</v>
      </c>
      <c r="D126" s="19" t="s">
        <v>35</v>
      </c>
      <c r="E126" s="19" t="s">
        <v>29</v>
      </c>
      <c r="F126" s="19" t="n">
        <v>10</v>
      </c>
      <c r="G126" s="20" t="n">
        <v>1227.45</v>
      </c>
      <c r="H126" s="20" t="n">
        <v>12274.49</v>
      </c>
      <c r="I126" s="20" t="n">
        <v>7396.87</v>
      </c>
      <c r="J126" s="20" t="n">
        <v>4877.61</v>
      </c>
      <c r="K126" s="21" t="n">
        <v>0.397378199165659</v>
      </c>
      <c r="L126" s="19" t="n">
        <v>26</v>
      </c>
      <c r="M126" s="19" t="n">
        <v>9</v>
      </c>
      <c r="N126" s="21" t="n">
        <v>0.346153846153846</v>
      </c>
    </row>
    <row r="127" customFormat="false" ht="15" hidden="false" customHeight="false" outlineLevel="0" collapsed="false">
      <c r="A127" s="19" t="s">
        <v>54</v>
      </c>
      <c r="B127" s="19" t="s">
        <v>53</v>
      </c>
      <c r="C127" s="19" t="s">
        <v>32</v>
      </c>
      <c r="D127" s="19" t="s">
        <v>42</v>
      </c>
      <c r="E127" s="19" t="s">
        <v>31</v>
      </c>
      <c r="F127" s="19" t="n">
        <v>16</v>
      </c>
      <c r="G127" s="20" t="n">
        <v>2024.68</v>
      </c>
      <c r="H127" s="20" t="n">
        <v>32394.87</v>
      </c>
      <c r="I127" s="20" t="n">
        <v>15753.55</v>
      </c>
      <c r="J127" s="20" t="n">
        <v>16641.31</v>
      </c>
      <c r="K127" s="21" t="n">
        <v>0.513702170555375</v>
      </c>
      <c r="L127" s="19" t="n">
        <v>52</v>
      </c>
      <c r="M127" s="19" t="n">
        <v>15</v>
      </c>
      <c r="N127" s="21" t="n">
        <v>0.288461538461538</v>
      </c>
    </row>
    <row r="128" customFormat="false" ht="15" hidden="false" customHeight="false" outlineLevel="0" collapsed="false">
      <c r="A128" s="19" t="s">
        <v>54</v>
      </c>
      <c r="B128" s="19" t="s">
        <v>53</v>
      </c>
      <c r="C128" s="19" t="s">
        <v>37</v>
      </c>
      <c r="D128" s="19" t="s">
        <v>34</v>
      </c>
      <c r="E128" s="19" t="s">
        <v>27</v>
      </c>
      <c r="F128" s="19" t="n">
        <v>15</v>
      </c>
      <c r="G128" s="20" t="n">
        <v>2374.98</v>
      </c>
      <c r="H128" s="20" t="n">
        <v>35624.72</v>
      </c>
      <c r="I128" s="20" t="n">
        <v>20805.79</v>
      </c>
      <c r="J128" s="20" t="n">
        <v>14818.93</v>
      </c>
      <c r="K128" s="21" t="n">
        <v>0.415973298095763</v>
      </c>
      <c r="L128" s="19" t="n">
        <v>25</v>
      </c>
      <c r="M128" s="19" t="n">
        <v>12</v>
      </c>
      <c r="N128" s="21" t="n">
        <v>0.48</v>
      </c>
    </row>
    <row r="129" customFormat="false" ht="15" hidden="false" customHeight="false" outlineLevel="0" collapsed="false">
      <c r="A129" s="19" t="s">
        <v>54</v>
      </c>
      <c r="B129" s="19" t="s">
        <v>53</v>
      </c>
      <c r="C129" s="19" t="s">
        <v>37</v>
      </c>
      <c r="D129" s="19" t="s">
        <v>28</v>
      </c>
      <c r="E129" s="19" t="s">
        <v>36</v>
      </c>
      <c r="F129" s="19" t="n">
        <v>17</v>
      </c>
      <c r="G129" s="20" t="n">
        <v>374.59</v>
      </c>
      <c r="H129" s="20" t="n">
        <v>6367.96</v>
      </c>
      <c r="I129" s="20" t="n">
        <v>4069.38</v>
      </c>
      <c r="J129" s="20" t="n">
        <v>2298.59</v>
      </c>
      <c r="K129" s="21" t="n">
        <v>0.360961292087358</v>
      </c>
      <c r="L129" s="19" t="n">
        <v>50</v>
      </c>
      <c r="M129" s="19" t="n">
        <v>3</v>
      </c>
      <c r="N129" s="21" t="n">
        <v>0.06</v>
      </c>
    </row>
    <row r="130" customFormat="false" ht="15" hidden="false" customHeight="false" outlineLevel="0" collapsed="false">
      <c r="A130" s="19" t="s">
        <v>54</v>
      </c>
      <c r="B130" s="19" t="s">
        <v>53</v>
      </c>
      <c r="C130" s="19" t="s">
        <v>37</v>
      </c>
      <c r="D130" s="19" t="s">
        <v>33</v>
      </c>
      <c r="E130" s="19" t="s">
        <v>36</v>
      </c>
      <c r="F130" s="19" t="n">
        <v>4</v>
      </c>
      <c r="G130" s="20" t="n">
        <v>377.74</v>
      </c>
      <c r="H130" s="20" t="n">
        <v>1510.97</v>
      </c>
      <c r="I130" s="20" t="n">
        <v>777.63</v>
      </c>
      <c r="J130" s="20" t="n">
        <v>733.34</v>
      </c>
      <c r="K130" s="21" t="n">
        <v>0.485345242744801</v>
      </c>
      <c r="L130" s="19" t="n">
        <v>40</v>
      </c>
      <c r="M130" s="19" t="n">
        <v>6</v>
      </c>
      <c r="N130" s="21" t="n">
        <v>0.15</v>
      </c>
    </row>
    <row r="131" customFormat="false" ht="15" hidden="false" customHeight="false" outlineLevel="0" collapsed="false">
      <c r="A131" s="19" t="s">
        <v>54</v>
      </c>
      <c r="B131" s="19" t="s">
        <v>53</v>
      </c>
      <c r="C131" s="19" t="s">
        <v>39</v>
      </c>
      <c r="D131" s="19" t="s">
        <v>28</v>
      </c>
      <c r="E131" s="19" t="s">
        <v>36</v>
      </c>
      <c r="F131" s="19" t="n">
        <v>15</v>
      </c>
      <c r="G131" s="20" t="n">
        <v>346.5</v>
      </c>
      <c r="H131" s="20" t="n">
        <v>5197.57</v>
      </c>
      <c r="I131" s="20" t="n">
        <v>2877.83</v>
      </c>
      <c r="J131" s="20" t="n">
        <v>2319.74</v>
      </c>
      <c r="K131" s="21" t="n">
        <v>0.446312121507854</v>
      </c>
      <c r="L131" s="19" t="n">
        <v>54</v>
      </c>
      <c r="M131" s="19" t="n">
        <v>17</v>
      </c>
      <c r="N131" s="21" t="n">
        <v>0.314814814814815</v>
      </c>
    </row>
    <row r="132" customFormat="false" ht="15" hidden="false" customHeight="false" outlineLevel="0" collapsed="false">
      <c r="A132" s="19" t="s">
        <v>54</v>
      </c>
      <c r="B132" s="19" t="s">
        <v>53</v>
      </c>
      <c r="C132" s="19" t="s">
        <v>39</v>
      </c>
      <c r="D132" s="19" t="s">
        <v>30</v>
      </c>
      <c r="E132" s="19" t="s">
        <v>36</v>
      </c>
      <c r="F132" s="19" t="n">
        <v>3</v>
      </c>
      <c r="G132" s="20" t="n">
        <v>364.43</v>
      </c>
      <c r="H132" s="20" t="n">
        <v>1093.28</v>
      </c>
      <c r="I132" s="20" t="n">
        <v>612.07</v>
      </c>
      <c r="J132" s="20" t="n">
        <v>481.21</v>
      </c>
      <c r="K132" s="21" t="n">
        <v>0.440156072182934</v>
      </c>
      <c r="L132" s="19" t="n">
        <v>33</v>
      </c>
      <c r="M132" s="19" t="n">
        <v>5</v>
      </c>
      <c r="N132" s="21" t="n">
        <v>0.151515151515152</v>
      </c>
    </row>
    <row r="133" customFormat="false" ht="15" hidden="false" customHeight="false" outlineLevel="0" collapsed="false">
      <c r="A133" s="19" t="s">
        <v>54</v>
      </c>
      <c r="B133" s="19" t="s">
        <v>53</v>
      </c>
      <c r="C133" s="19" t="s">
        <v>39</v>
      </c>
      <c r="D133" s="19" t="s">
        <v>35</v>
      </c>
      <c r="E133" s="19" t="s">
        <v>36</v>
      </c>
      <c r="F133" s="19" t="n">
        <v>5</v>
      </c>
      <c r="G133" s="20" t="n">
        <v>343.46</v>
      </c>
      <c r="H133" s="20" t="n">
        <v>1717.32</v>
      </c>
      <c r="I133" s="20" t="n">
        <v>989.18</v>
      </c>
      <c r="J133" s="20" t="n">
        <v>728.14</v>
      </c>
      <c r="K133" s="21" t="n">
        <v>0.423995544599188</v>
      </c>
      <c r="L133" s="19" t="n">
        <v>30</v>
      </c>
      <c r="M133" s="19" t="n">
        <v>7</v>
      </c>
      <c r="N133" s="21" t="n">
        <v>0.233333333333333</v>
      </c>
    </row>
    <row r="134" customFormat="false" ht="15" hidden="false" customHeight="false" outlineLevel="0" collapsed="false">
      <c r="A134" s="19" t="s">
        <v>55</v>
      </c>
      <c r="B134" s="19" t="s">
        <v>53</v>
      </c>
      <c r="C134" s="19" t="s">
        <v>25</v>
      </c>
      <c r="D134" s="19" t="s">
        <v>42</v>
      </c>
      <c r="E134" s="19" t="s">
        <v>29</v>
      </c>
      <c r="F134" s="19" t="n">
        <v>19</v>
      </c>
      <c r="G134" s="20" t="n">
        <v>1166.88</v>
      </c>
      <c r="H134" s="20" t="n">
        <v>22170.66</v>
      </c>
      <c r="I134" s="20" t="n">
        <v>10973.15</v>
      </c>
      <c r="J134" s="20" t="n">
        <v>11197.51</v>
      </c>
      <c r="K134" s="21" t="n">
        <v>0.505059868108843</v>
      </c>
      <c r="L134" s="19" t="n">
        <v>22</v>
      </c>
      <c r="M134" s="19" t="n">
        <v>16</v>
      </c>
      <c r="N134" s="21" t="n">
        <v>0.727272727272727</v>
      </c>
    </row>
    <row r="135" customFormat="false" ht="15" hidden="false" customHeight="false" outlineLevel="0" collapsed="false">
      <c r="A135" s="19" t="s">
        <v>55</v>
      </c>
      <c r="B135" s="19" t="s">
        <v>53</v>
      </c>
      <c r="C135" s="19" t="s">
        <v>25</v>
      </c>
      <c r="D135" s="19" t="s">
        <v>34</v>
      </c>
      <c r="E135" s="19" t="s">
        <v>29</v>
      </c>
      <c r="F135" s="19" t="n">
        <v>6</v>
      </c>
      <c r="G135" s="20" t="n">
        <v>1199.42</v>
      </c>
      <c r="H135" s="20" t="n">
        <v>7196.49</v>
      </c>
      <c r="I135" s="20" t="n">
        <v>4269.83</v>
      </c>
      <c r="J135" s="20" t="n">
        <v>2926.66</v>
      </c>
      <c r="K135" s="21" t="n">
        <v>0.406679334801642</v>
      </c>
      <c r="L135" s="19" t="n">
        <v>47</v>
      </c>
      <c r="M135" s="19" t="n">
        <v>6</v>
      </c>
      <c r="N135" s="21" t="n">
        <v>0.127659574468085</v>
      </c>
    </row>
    <row r="136" customFormat="false" ht="15" hidden="false" customHeight="false" outlineLevel="0" collapsed="false">
      <c r="A136" s="19" t="s">
        <v>55</v>
      </c>
      <c r="B136" s="19" t="s">
        <v>53</v>
      </c>
      <c r="C136" s="19" t="s">
        <v>25</v>
      </c>
      <c r="D136" s="19" t="s">
        <v>35</v>
      </c>
      <c r="E136" s="19" t="s">
        <v>36</v>
      </c>
      <c r="F136" s="19" t="n">
        <v>17</v>
      </c>
      <c r="G136" s="20" t="n">
        <v>457.63</v>
      </c>
      <c r="H136" s="20" t="n">
        <v>7779.7</v>
      </c>
      <c r="I136" s="20" t="n">
        <v>3880.1</v>
      </c>
      <c r="J136" s="20" t="n">
        <v>3899.6</v>
      </c>
      <c r="K136" s="21" t="n">
        <v>0.501253818784972</v>
      </c>
      <c r="L136" s="19" t="n">
        <v>50</v>
      </c>
      <c r="M136" s="19" t="n">
        <v>6</v>
      </c>
      <c r="N136" s="21" t="n">
        <v>0.12</v>
      </c>
    </row>
    <row r="137" customFormat="false" ht="15" hidden="false" customHeight="false" outlineLevel="0" collapsed="false">
      <c r="A137" s="19" t="s">
        <v>55</v>
      </c>
      <c r="B137" s="19" t="s">
        <v>53</v>
      </c>
      <c r="C137" s="19" t="s">
        <v>32</v>
      </c>
      <c r="D137" s="19" t="s">
        <v>41</v>
      </c>
      <c r="E137" s="19" t="s">
        <v>31</v>
      </c>
      <c r="F137" s="19" t="n">
        <v>6</v>
      </c>
      <c r="G137" s="20" t="n">
        <v>1996.57</v>
      </c>
      <c r="H137" s="20" t="n">
        <v>11979.45</v>
      </c>
      <c r="I137" s="20" t="n">
        <v>6052.61</v>
      </c>
      <c r="J137" s="20" t="n">
        <v>5926.84</v>
      </c>
      <c r="K137" s="21" t="n">
        <v>0.494750519435592</v>
      </c>
      <c r="L137" s="19" t="n">
        <v>41</v>
      </c>
      <c r="M137" s="19" t="n">
        <v>7</v>
      </c>
      <c r="N137" s="21" t="n">
        <v>0.170731707317073</v>
      </c>
    </row>
    <row r="138" customFormat="false" ht="15" hidden="false" customHeight="false" outlineLevel="0" collapsed="false">
      <c r="A138" s="19" t="s">
        <v>55</v>
      </c>
      <c r="B138" s="19" t="s">
        <v>53</v>
      </c>
      <c r="C138" s="19" t="s">
        <v>32</v>
      </c>
      <c r="D138" s="19" t="s">
        <v>26</v>
      </c>
      <c r="E138" s="19" t="s">
        <v>31</v>
      </c>
      <c r="F138" s="19" t="n">
        <v>10</v>
      </c>
      <c r="G138" s="20" t="n">
        <v>1973.1</v>
      </c>
      <c r="H138" s="20" t="n">
        <v>19730.97</v>
      </c>
      <c r="I138" s="20" t="n">
        <v>9995.07</v>
      </c>
      <c r="J138" s="20" t="n">
        <v>9735.89</v>
      </c>
      <c r="K138" s="21" t="n">
        <v>0.493432203343435</v>
      </c>
      <c r="L138" s="19" t="n">
        <v>34</v>
      </c>
      <c r="M138" s="19" t="n">
        <v>11</v>
      </c>
      <c r="N138" s="21" t="n">
        <v>0.323529411764706</v>
      </c>
    </row>
    <row r="139" customFormat="false" ht="15" hidden="false" customHeight="false" outlineLevel="0" collapsed="false">
      <c r="A139" s="19" t="s">
        <v>55</v>
      </c>
      <c r="B139" s="19" t="s">
        <v>53</v>
      </c>
      <c r="C139" s="19" t="s">
        <v>32</v>
      </c>
      <c r="D139" s="19" t="s">
        <v>35</v>
      </c>
      <c r="E139" s="19" t="s">
        <v>31</v>
      </c>
      <c r="F139" s="19" t="n">
        <v>17</v>
      </c>
      <c r="G139" s="20" t="n">
        <v>1997.24</v>
      </c>
      <c r="H139" s="20" t="n">
        <v>33953.09</v>
      </c>
      <c r="I139" s="20" t="n">
        <v>18311.22</v>
      </c>
      <c r="J139" s="20" t="n">
        <v>15641.87</v>
      </c>
      <c r="K139" s="21" t="n">
        <v>0.460690521391361</v>
      </c>
      <c r="L139" s="19" t="n">
        <v>45</v>
      </c>
      <c r="M139" s="19" t="n">
        <v>13</v>
      </c>
      <c r="N139" s="21" t="n">
        <v>0.288888888888889</v>
      </c>
    </row>
    <row r="140" customFormat="false" ht="15" hidden="false" customHeight="false" outlineLevel="0" collapsed="false">
      <c r="A140" s="19" t="s">
        <v>55</v>
      </c>
      <c r="B140" s="19" t="s">
        <v>53</v>
      </c>
      <c r="C140" s="19" t="s">
        <v>37</v>
      </c>
      <c r="D140" s="19" t="s">
        <v>30</v>
      </c>
      <c r="E140" s="19" t="s">
        <v>36</v>
      </c>
      <c r="F140" s="19" t="n">
        <v>16</v>
      </c>
      <c r="G140" s="20" t="n">
        <v>451.94</v>
      </c>
      <c r="H140" s="20" t="n">
        <v>7231.08</v>
      </c>
      <c r="I140" s="20" t="n">
        <v>4511.62</v>
      </c>
      <c r="J140" s="20" t="n">
        <v>2719.46</v>
      </c>
      <c r="K140" s="21" t="n">
        <v>0.376079663353186</v>
      </c>
      <c r="L140" s="19" t="n">
        <v>59</v>
      </c>
      <c r="M140" s="19" t="n">
        <v>9</v>
      </c>
      <c r="N140" s="21" t="n">
        <v>0.152542372881356</v>
      </c>
    </row>
    <row r="141" customFormat="false" ht="15" hidden="false" customHeight="false" outlineLevel="0" collapsed="false">
      <c r="A141" s="19" t="s">
        <v>55</v>
      </c>
      <c r="B141" s="19" t="s">
        <v>53</v>
      </c>
      <c r="C141" s="19" t="s">
        <v>37</v>
      </c>
      <c r="D141" s="19" t="s">
        <v>35</v>
      </c>
      <c r="E141" s="19" t="s">
        <v>31</v>
      </c>
      <c r="F141" s="19" t="n">
        <v>14</v>
      </c>
      <c r="G141" s="20" t="n">
        <v>1656.12</v>
      </c>
      <c r="H141" s="20" t="n">
        <v>23185.73</v>
      </c>
      <c r="I141" s="20" t="n">
        <v>14029.89</v>
      </c>
      <c r="J141" s="20" t="n">
        <v>9155.84</v>
      </c>
      <c r="K141" s="21" t="n">
        <v>0.394891104980148</v>
      </c>
      <c r="L141" s="19" t="n">
        <v>17</v>
      </c>
      <c r="M141" s="19" t="n">
        <v>12</v>
      </c>
      <c r="N141" s="21" t="n">
        <v>0.705882352941177</v>
      </c>
    </row>
    <row r="142" customFormat="false" ht="15" hidden="false" customHeight="false" outlineLevel="0" collapsed="false">
      <c r="A142" s="19" t="s">
        <v>55</v>
      </c>
      <c r="B142" s="19" t="s">
        <v>53</v>
      </c>
      <c r="C142" s="19" t="s">
        <v>37</v>
      </c>
      <c r="D142" s="19" t="s">
        <v>41</v>
      </c>
      <c r="E142" s="19" t="s">
        <v>36</v>
      </c>
      <c r="F142" s="19" t="n">
        <v>14</v>
      </c>
      <c r="G142" s="20" t="n">
        <v>386.33</v>
      </c>
      <c r="H142" s="20" t="n">
        <v>5408.61</v>
      </c>
      <c r="I142" s="20" t="n">
        <v>3151.8</v>
      </c>
      <c r="J142" s="20" t="n">
        <v>2256.81</v>
      </c>
      <c r="K142" s="21" t="n">
        <v>0.417262234103093</v>
      </c>
      <c r="L142" s="19" t="n">
        <v>56</v>
      </c>
      <c r="M142" s="19" t="n">
        <v>6</v>
      </c>
      <c r="N142" s="21" t="n">
        <v>0.107142857142857</v>
      </c>
    </row>
    <row r="143" customFormat="false" ht="15" hidden="false" customHeight="false" outlineLevel="0" collapsed="false">
      <c r="A143" s="19" t="s">
        <v>55</v>
      </c>
      <c r="B143" s="19" t="s">
        <v>53</v>
      </c>
      <c r="C143" s="19" t="s">
        <v>39</v>
      </c>
      <c r="D143" s="19" t="s">
        <v>34</v>
      </c>
      <c r="E143" s="19" t="s">
        <v>31</v>
      </c>
      <c r="F143" s="19" t="n">
        <v>20</v>
      </c>
      <c r="G143" s="20" t="n">
        <v>1709.28</v>
      </c>
      <c r="H143" s="20" t="n">
        <v>34185.54</v>
      </c>
      <c r="I143" s="20" t="n">
        <v>16069.7</v>
      </c>
      <c r="J143" s="20" t="n">
        <v>18115.84</v>
      </c>
      <c r="K143" s="21" t="n">
        <v>0.52992707956703</v>
      </c>
      <c r="L143" s="19" t="n">
        <v>43</v>
      </c>
      <c r="M143" s="19" t="n">
        <v>5</v>
      </c>
      <c r="N143" s="21" t="n">
        <v>0.116279069767442</v>
      </c>
    </row>
    <row r="144" customFormat="false" ht="15" hidden="false" customHeight="false" outlineLevel="0" collapsed="false">
      <c r="A144" s="19" t="s">
        <v>55</v>
      </c>
      <c r="B144" s="19" t="s">
        <v>53</v>
      </c>
      <c r="C144" s="19" t="s">
        <v>39</v>
      </c>
      <c r="D144" s="19" t="s">
        <v>28</v>
      </c>
      <c r="E144" s="19" t="s">
        <v>31</v>
      </c>
      <c r="F144" s="19" t="n">
        <v>16</v>
      </c>
      <c r="G144" s="20" t="n">
        <v>1538.29</v>
      </c>
      <c r="H144" s="20" t="n">
        <v>24612.6</v>
      </c>
      <c r="I144" s="20" t="n">
        <v>11785.28</v>
      </c>
      <c r="J144" s="20" t="n">
        <v>12827.32</v>
      </c>
      <c r="K144" s="21" t="n">
        <v>0.521168916806611</v>
      </c>
      <c r="L144" s="19" t="n">
        <v>56</v>
      </c>
      <c r="M144" s="19" t="n">
        <v>6</v>
      </c>
      <c r="N144" s="21" t="n">
        <v>0.107142857142857</v>
      </c>
    </row>
    <row r="145" customFormat="false" ht="15" hidden="false" customHeight="false" outlineLevel="0" collapsed="false">
      <c r="A145" s="19" t="s">
        <v>55</v>
      </c>
      <c r="B145" s="19" t="s">
        <v>53</v>
      </c>
      <c r="C145" s="19" t="s">
        <v>39</v>
      </c>
      <c r="D145" s="19" t="s">
        <v>26</v>
      </c>
      <c r="E145" s="19" t="s">
        <v>29</v>
      </c>
      <c r="F145" s="19" t="n">
        <v>17</v>
      </c>
      <c r="G145" s="20" t="n">
        <v>1301.35</v>
      </c>
      <c r="H145" s="20" t="n">
        <v>22122.93</v>
      </c>
      <c r="I145" s="20" t="n">
        <v>11127.94</v>
      </c>
      <c r="J145" s="20" t="n">
        <v>10995</v>
      </c>
      <c r="K145" s="21" t="n">
        <v>0.496995444091318</v>
      </c>
      <c r="L145" s="19" t="n">
        <v>54</v>
      </c>
      <c r="M145" s="19" t="n">
        <v>14</v>
      </c>
      <c r="N145" s="21" t="n">
        <v>0.259259259259259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0"/>
  </cols>
  <sheetData>
    <row r="1" customFormat="false" ht="36" hidden="false" customHeight="true" outlineLevel="0" collapsed="false">
      <c r="A1" s="22" t="s">
        <v>56</v>
      </c>
      <c r="B1" s="22"/>
      <c r="C1" s="22"/>
      <c r="D1" s="22"/>
      <c r="E1" s="22"/>
      <c r="F1" s="22"/>
      <c r="G1" s="22"/>
      <c r="H1" s="22"/>
    </row>
    <row r="2" customFormat="false" ht="31.5" hidden="false" customHeight="true" outlineLevel="0" collapsed="false">
      <c r="A2" s="23" t="s">
        <v>9</v>
      </c>
      <c r="B2" s="23" t="s">
        <v>57</v>
      </c>
      <c r="C2" s="23" t="s">
        <v>58</v>
      </c>
      <c r="D2" s="23" t="s">
        <v>59</v>
      </c>
      <c r="E2" s="23" t="s">
        <v>60</v>
      </c>
      <c r="F2" s="23" t="s">
        <v>61</v>
      </c>
      <c r="G2" s="23" t="s">
        <v>62</v>
      </c>
      <c r="H2" s="23" t="s">
        <v>63</v>
      </c>
    </row>
    <row r="3" customFormat="false" ht="15" hidden="false" customHeight="false" outlineLevel="0" collapsed="false">
      <c r="A3" s="24" t="s">
        <v>23</v>
      </c>
      <c r="B3" s="25" t="n">
        <f aca="false">SUMIF('Raw Data'!A:A,A3,'Raw Data'!H:H)</f>
        <v>186741.65</v>
      </c>
      <c r="C3" s="25" t="n">
        <f aca="false">SUMIF('Raw Data'!A:A,A3,'Raw Data'!I:I)</f>
        <v>100269.79</v>
      </c>
      <c r="D3" s="25" t="n">
        <f aca="false">SUMIF('Raw Data'!A:A,A3,'Raw Data'!J:J)</f>
        <v>86471.84</v>
      </c>
      <c r="E3" s="26" t="n">
        <f aca="false">AVERAGEIF('Raw Data'!A:A,A3,'Raw Data'!K:K)</f>
        <v>0.458892969347274</v>
      </c>
      <c r="F3" s="25" t="n">
        <f aca="false">SUMIF('Raw Data'!A:A,A3,'Raw Data'!L:L)</f>
        <v>421</v>
      </c>
      <c r="G3" s="25" t="n">
        <f aca="false">SUMIF('Raw Data'!A:A,A3,'Raw Data'!M:M)</f>
        <v>83</v>
      </c>
      <c r="H3" s="26" t="n">
        <f aca="false">AVERAGEIF('Raw Data'!A:A,A3,'Raw Data'!N:N)</f>
        <v>0.251429233098325</v>
      </c>
    </row>
    <row r="4" customFormat="false" ht="15" hidden="false" customHeight="false" outlineLevel="0" collapsed="false">
      <c r="A4" s="27" t="s">
        <v>40</v>
      </c>
      <c r="B4" s="28" t="n">
        <f aca="false">SUMIF('Raw Data'!A:A,A4,'Raw Data'!H:H)</f>
        <v>212285.8</v>
      </c>
      <c r="C4" s="28" t="n">
        <f aca="false">SUMIF('Raw Data'!A:A,A4,'Raw Data'!I:I)</f>
        <v>119870.75</v>
      </c>
      <c r="D4" s="28" t="n">
        <f aca="false">SUMIF('Raw Data'!A:A,A4,'Raw Data'!J:J)</f>
        <v>92415.08</v>
      </c>
      <c r="E4" s="29" t="n">
        <f aca="false">AVERAGEIF('Raw Data'!A:A,A4,'Raw Data'!K:K)</f>
        <v>0.426853267615182</v>
      </c>
      <c r="F4" s="28" t="n">
        <f aca="false">SUMIF('Raw Data'!A:A,A4,'Raw Data'!L:L)</f>
        <v>474</v>
      </c>
      <c r="G4" s="28" t="n">
        <f aca="false">SUMIF('Raw Data'!A:A,A4,'Raw Data'!M:M)</f>
        <v>112</v>
      </c>
      <c r="H4" s="29" t="n">
        <f aca="false">AVERAGEIF('Raw Data'!A:A,A4,'Raw Data'!N:N)</f>
        <v>0.293569848406793</v>
      </c>
    </row>
    <row r="5" customFormat="false" ht="15" hidden="false" customHeight="false" outlineLevel="0" collapsed="false">
      <c r="A5" s="24" t="s">
        <v>43</v>
      </c>
      <c r="B5" s="25" t="n">
        <f aca="false">SUMIF('Raw Data'!A:A,A5,'Raw Data'!H:H)</f>
        <v>162259.27</v>
      </c>
      <c r="C5" s="25" t="n">
        <f aca="false">SUMIF('Raw Data'!A:A,A5,'Raw Data'!I:I)</f>
        <v>92775.75</v>
      </c>
      <c r="D5" s="25" t="n">
        <f aca="false">SUMIF('Raw Data'!A:A,A5,'Raw Data'!J:J)</f>
        <v>69483.53</v>
      </c>
      <c r="E5" s="26" t="n">
        <f aca="false">AVERAGEIF('Raw Data'!A:A,A5,'Raw Data'!K:K)</f>
        <v>0.443521199238275</v>
      </c>
      <c r="F5" s="25" t="n">
        <f aca="false">SUMIF('Raw Data'!A:A,A5,'Raw Data'!L:L)</f>
        <v>454</v>
      </c>
      <c r="G5" s="25" t="n">
        <f aca="false">SUMIF('Raw Data'!A:A,A5,'Raw Data'!M:M)</f>
        <v>69</v>
      </c>
      <c r="H5" s="26" t="n">
        <f aca="false">AVERAGEIF('Raw Data'!A:A,A5,'Raw Data'!N:N)</f>
        <v>0.15839846373179</v>
      </c>
    </row>
    <row r="6" customFormat="false" ht="15" hidden="false" customHeight="false" outlineLevel="0" collapsed="false">
      <c r="A6" s="27" t="s">
        <v>44</v>
      </c>
      <c r="B6" s="28" t="n">
        <f aca="false">SUMIF('Raw Data'!A:A,A6,'Raw Data'!H:H)</f>
        <v>191007.05</v>
      </c>
      <c r="C6" s="28" t="n">
        <f aca="false">SUMIF('Raw Data'!A:A,A6,'Raw Data'!I:I)</f>
        <v>104618.96</v>
      </c>
      <c r="D6" s="28" t="n">
        <f aca="false">SUMIF('Raw Data'!A:A,A6,'Raw Data'!J:J)</f>
        <v>86388.07</v>
      </c>
      <c r="E6" s="29" t="n">
        <f aca="false">AVERAGEIF('Raw Data'!A:A,A6,'Raw Data'!K:K)</f>
        <v>0.452498970676022</v>
      </c>
      <c r="F6" s="28" t="n">
        <f aca="false">SUMIF('Raw Data'!A:A,A6,'Raw Data'!L:L)</f>
        <v>421</v>
      </c>
      <c r="G6" s="28" t="n">
        <f aca="false">SUMIF('Raw Data'!A:A,A6,'Raw Data'!M:M)</f>
        <v>108</v>
      </c>
      <c r="H6" s="29" t="n">
        <f aca="false">AVERAGEIF('Raw Data'!A:A,A6,'Raw Data'!N:N)</f>
        <v>0.299813412512907</v>
      </c>
    </row>
    <row r="7" customFormat="false" ht="15" hidden="false" customHeight="false" outlineLevel="0" collapsed="false">
      <c r="A7" s="24" t="s">
        <v>46</v>
      </c>
      <c r="B7" s="25" t="n">
        <f aca="false">SUMIF('Raw Data'!A:A,A7,'Raw Data'!H:H)</f>
        <v>108546.66</v>
      </c>
      <c r="C7" s="25" t="n">
        <f aca="false">SUMIF('Raw Data'!A:A,A7,'Raw Data'!I:I)</f>
        <v>62846.43</v>
      </c>
      <c r="D7" s="25" t="n">
        <f aca="false">SUMIF('Raw Data'!A:A,A7,'Raw Data'!J:J)</f>
        <v>45700.25</v>
      </c>
      <c r="E7" s="26" t="n">
        <f aca="false">AVERAGEIF('Raw Data'!A:A,A7,'Raw Data'!K:K)</f>
        <v>0.429437656845979</v>
      </c>
      <c r="F7" s="25" t="n">
        <f aca="false">SUMIF('Raw Data'!A:A,A7,'Raw Data'!L:L)</f>
        <v>348</v>
      </c>
      <c r="G7" s="25" t="n">
        <f aca="false">SUMIF('Raw Data'!A:A,A7,'Raw Data'!M:M)</f>
        <v>94</v>
      </c>
      <c r="H7" s="26" t="n">
        <f aca="false">AVERAGEIF('Raw Data'!A:A,A7,'Raw Data'!N:N)</f>
        <v>0.301658684098426</v>
      </c>
    </row>
    <row r="8" customFormat="false" ht="15" hidden="false" customHeight="false" outlineLevel="0" collapsed="false">
      <c r="A8" s="27" t="s">
        <v>47</v>
      </c>
      <c r="B8" s="28" t="n">
        <f aca="false">SUMIF('Raw Data'!A:A,A8,'Raw Data'!H:H)</f>
        <v>169090.28</v>
      </c>
      <c r="C8" s="28" t="n">
        <f aca="false">SUMIF('Raw Data'!A:A,A8,'Raw Data'!I:I)</f>
        <v>92833.04</v>
      </c>
      <c r="D8" s="28" t="n">
        <f aca="false">SUMIF('Raw Data'!A:A,A8,'Raw Data'!J:J)</f>
        <v>76257.21</v>
      </c>
      <c r="E8" s="29" t="n">
        <f aca="false">AVERAGEIF('Raw Data'!A:A,A8,'Raw Data'!K:K)</f>
        <v>0.453965880321487</v>
      </c>
      <c r="F8" s="28" t="n">
        <f aca="false">SUMIF('Raw Data'!A:A,A8,'Raw Data'!L:L)</f>
        <v>418</v>
      </c>
      <c r="G8" s="28" t="n">
        <f aca="false">SUMIF('Raw Data'!A:A,A8,'Raw Data'!M:M)</f>
        <v>100</v>
      </c>
      <c r="H8" s="29" t="n">
        <f aca="false">AVERAGEIF('Raw Data'!A:A,A8,'Raw Data'!N:N)</f>
        <v>0.266435757568449</v>
      </c>
    </row>
    <row r="9" customFormat="false" ht="15" hidden="false" customHeight="false" outlineLevel="0" collapsed="false">
      <c r="A9" s="24" t="s">
        <v>48</v>
      </c>
      <c r="B9" s="25" t="n">
        <f aca="false">SUMIF('Raw Data'!A:A,A9,'Raw Data'!H:H)</f>
        <v>225761.08</v>
      </c>
      <c r="C9" s="25" t="n">
        <f aca="false">SUMIF('Raw Data'!A:A,A9,'Raw Data'!I:I)</f>
        <v>125956.67</v>
      </c>
      <c r="D9" s="25" t="n">
        <f aca="false">SUMIF('Raw Data'!A:A,A9,'Raw Data'!J:J)</f>
        <v>99804.4</v>
      </c>
      <c r="E9" s="26" t="n">
        <f aca="false">AVERAGEIF('Raw Data'!A:A,A9,'Raw Data'!K:K)</f>
        <v>0.445221084774557</v>
      </c>
      <c r="F9" s="25" t="n">
        <f aca="false">SUMIF('Raw Data'!A:A,A9,'Raw Data'!L:L)</f>
        <v>488</v>
      </c>
      <c r="G9" s="25" t="n">
        <f aca="false">SUMIF('Raw Data'!A:A,A9,'Raw Data'!M:M)</f>
        <v>124</v>
      </c>
      <c r="H9" s="26" t="n">
        <f aca="false">AVERAGEIF('Raw Data'!A:A,A9,'Raw Data'!N:N)</f>
        <v>0.274149456274603</v>
      </c>
    </row>
    <row r="10" customFormat="false" ht="15" hidden="false" customHeight="false" outlineLevel="0" collapsed="false">
      <c r="A10" s="27" t="s">
        <v>50</v>
      </c>
      <c r="B10" s="28" t="n">
        <f aca="false">SUMIF('Raw Data'!A:A,A10,'Raw Data'!H:H)</f>
        <v>133174.1</v>
      </c>
      <c r="C10" s="28" t="n">
        <f aca="false">SUMIF('Raw Data'!A:A,A10,'Raw Data'!I:I)</f>
        <v>72254.86</v>
      </c>
      <c r="D10" s="28" t="n">
        <f aca="false">SUMIF('Raw Data'!A:A,A10,'Raw Data'!J:J)</f>
        <v>60919.25</v>
      </c>
      <c r="E10" s="29" t="n">
        <f aca="false">AVERAGEIF('Raw Data'!A:A,A10,'Raw Data'!K:K)</f>
        <v>0.44964910483205</v>
      </c>
      <c r="F10" s="28" t="n">
        <f aca="false">SUMIF('Raw Data'!A:A,A10,'Raw Data'!L:L)</f>
        <v>429</v>
      </c>
      <c r="G10" s="28" t="n">
        <f aca="false">SUMIF('Raw Data'!A:A,A10,'Raw Data'!M:M)</f>
        <v>79</v>
      </c>
      <c r="H10" s="29" t="n">
        <f aca="false">AVERAGEIF('Raw Data'!A:A,A10,'Raw Data'!N:N)</f>
        <v>0.221532367711712</v>
      </c>
    </row>
    <row r="11" customFormat="false" ht="15" hidden="false" customHeight="false" outlineLevel="0" collapsed="false">
      <c r="A11" s="24" t="s">
        <v>51</v>
      </c>
      <c r="B11" s="25" t="n">
        <f aca="false">SUMIF('Raw Data'!A:A,A11,'Raw Data'!H:H)</f>
        <v>192962.85</v>
      </c>
      <c r="C11" s="25" t="n">
        <f aca="false">SUMIF('Raw Data'!A:A,A11,'Raw Data'!I:I)</f>
        <v>106317.21</v>
      </c>
      <c r="D11" s="25" t="n">
        <f aca="false">SUMIF('Raw Data'!A:A,A11,'Raw Data'!J:J)</f>
        <v>86645.65</v>
      </c>
      <c r="E11" s="26" t="n">
        <f aca="false">AVERAGEIF('Raw Data'!A:A,A11,'Raw Data'!K:K)</f>
        <v>0.458897181600903</v>
      </c>
      <c r="F11" s="25" t="n">
        <f aca="false">SUMIF('Raw Data'!A:A,A11,'Raw Data'!L:L)</f>
        <v>472</v>
      </c>
      <c r="G11" s="25" t="n">
        <f aca="false">SUMIF('Raw Data'!A:A,A11,'Raw Data'!M:M)</f>
        <v>102</v>
      </c>
      <c r="H11" s="26" t="n">
        <f aca="false">AVERAGEIF('Raw Data'!A:A,A11,'Raw Data'!N:N)</f>
        <v>0.222632815871517</v>
      </c>
    </row>
    <row r="12" customFormat="false" ht="15" hidden="false" customHeight="false" outlineLevel="0" collapsed="false">
      <c r="A12" s="27" t="s">
        <v>52</v>
      </c>
      <c r="B12" s="28" t="n">
        <f aca="false">SUMIF('Raw Data'!A:A,A12,'Raw Data'!H:H)</f>
        <v>237926.15</v>
      </c>
      <c r="C12" s="28" t="n">
        <f aca="false">SUMIF('Raw Data'!A:A,A12,'Raw Data'!I:I)</f>
        <v>134215.18</v>
      </c>
      <c r="D12" s="28" t="n">
        <f aca="false">SUMIF('Raw Data'!A:A,A12,'Raw Data'!J:J)</f>
        <v>103710.96</v>
      </c>
      <c r="E12" s="29" t="n">
        <f aca="false">AVERAGEIF('Raw Data'!A:A,A12,'Raw Data'!K:K)</f>
        <v>0.453247044156865</v>
      </c>
      <c r="F12" s="28" t="n">
        <f aca="false">SUMIF('Raw Data'!A:A,A12,'Raw Data'!L:L)</f>
        <v>485</v>
      </c>
      <c r="G12" s="28" t="n">
        <f aca="false">SUMIF('Raw Data'!A:A,A12,'Raw Data'!M:M)</f>
        <v>60</v>
      </c>
      <c r="H12" s="29" t="n">
        <f aca="false">AVERAGEIF('Raw Data'!A:A,A12,'Raw Data'!N:N)</f>
        <v>0.15522647801015</v>
      </c>
    </row>
    <row r="13" customFormat="false" ht="15" hidden="false" customHeight="false" outlineLevel="0" collapsed="false">
      <c r="A13" s="24" t="s">
        <v>54</v>
      </c>
      <c r="B13" s="25" t="n">
        <f aca="false">SUMIF('Raw Data'!A:A,A13,'Raw Data'!H:H)</f>
        <v>149779.73</v>
      </c>
      <c r="C13" s="25" t="n">
        <f aca="false">SUMIF('Raw Data'!A:A,A13,'Raw Data'!I:I)</f>
        <v>79099.79</v>
      </c>
      <c r="D13" s="25" t="n">
        <f aca="false">SUMIF('Raw Data'!A:A,A13,'Raw Data'!J:J)</f>
        <v>70679.93</v>
      </c>
      <c r="E13" s="26" t="n">
        <f aca="false">AVERAGEIF('Raw Data'!A:A,A13,'Raw Data'!K:K)</f>
        <v>0.453239425097628</v>
      </c>
      <c r="F13" s="25" t="n">
        <f aca="false">SUMIF('Raw Data'!A:A,A13,'Raw Data'!L:L)</f>
        <v>452</v>
      </c>
      <c r="G13" s="25" t="n">
        <f aca="false">SUMIF('Raw Data'!A:A,A13,'Raw Data'!M:M)</f>
        <v>105</v>
      </c>
      <c r="H13" s="26" t="n">
        <f aca="false">AVERAGEIF('Raw Data'!A:A,A13,'Raw Data'!N:N)</f>
        <v>0.275062439376165</v>
      </c>
    </row>
    <row r="14" customFormat="false" ht="15" hidden="false" customHeight="false" outlineLevel="0" collapsed="false">
      <c r="A14" s="27" t="s">
        <v>55</v>
      </c>
      <c r="B14" s="28" t="n">
        <f aca="false">SUMIF('Raw Data'!A:A,A14,'Raw Data'!H:H)</f>
        <v>219556.85</v>
      </c>
      <c r="C14" s="28" t="n">
        <f aca="false">SUMIF('Raw Data'!A:A,A14,'Raw Data'!I:I)</f>
        <v>114158.21</v>
      </c>
      <c r="D14" s="28" t="n">
        <f aca="false">SUMIF('Raw Data'!A:A,A14,'Raw Data'!J:J)</f>
        <v>105398.64</v>
      </c>
      <c r="E14" s="29" t="n">
        <f aca="false">AVERAGEIF('Raw Data'!A:A,A14,'Raw Data'!K:K)</f>
        <v>0.466515892397269</v>
      </c>
      <c r="F14" s="28" t="n">
        <f aca="false">SUMIF('Raw Data'!A:A,A14,'Raw Data'!L:L)</f>
        <v>524</v>
      </c>
      <c r="G14" s="28" t="n">
        <f aca="false">SUMIF('Raw Data'!A:A,A14,'Raw Data'!M:M)</f>
        <v>111</v>
      </c>
      <c r="H14" s="29" t="n">
        <f aca="false">AVERAGEIF('Raw Data'!A:A,A14,'Raw Data'!N:N)</f>
        <v>0.267194256570536</v>
      </c>
    </row>
    <row r="15" customFormat="false" ht="15" hidden="false" customHeight="false" outlineLevel="0" collapsed="false">
      <c r="A15" s="30" t="s">
        <v>64</v>
      </c>
      <c r="B15" s="31" t="n">
        <f aca="false">SUM(B3:B14)</f>
        <v>2189091.47</v>
      </c>
      <c r="C15" s="31" t="n">
        <f aca="false">SUM(C3:C14)</f>
        <v>1205216.64</v>
      </c>
      <c r="D15" s="31" t="n">
        <f aca="false">SUM(D3:D14)</f>
        <v>983874.81</v>
      </c>
      <c r="E15" s="32" t="n">
        <f aca="false">AVERAGE(E3:E14)</f>
        <v>0.449328306408624</v>
      </c>
      <c r="F15" s="31" t="n">
        <f aca="false">SUM(F3:F14)</f>
        <v>5386</v>
      </c>
      <c r="G15" s="31" t="n">
        <f aca="false">SUM(G3:G14)</f>
        <v>1147</v>
      </c>
      <c r="H15" s="32" t="n">
        <f aca="false">AVERAGE(H3:H14)</f>
        <v>0.248925267769281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20"/>
  </cols>
  <sheetData>
    <row r="1" customFormat="false" ht="36" hidden="false" customHeight="true" outlineLevel="0" collapsed="false">
      <c r="A1" s="22" t="s">
        <v>65</v>
      </c>
      <c r="B1" s="22"/>
      <c r="C1" s="22"/>
      <c r="D1" s="22"/>
      <c r="E1" s="22"/>
      <c r="F1" s="22"/>
      <c r="G1" s="22"/>
    </row>
    <row r="2" customFormat="false" ht="31.5" hidden="false" customHeight="true" outlineLevel="0" collapsed="false">
      <c r="A2" s="23" t="s">
        <v>11</v>
      </c>
      <c r="B2" s="23" t="s">
        <v>57</v>
      </c>
      <c r="C2" s="23" t="s">
        <v>59</v>
      </c>
      <c r="D2" s="23" t="s">
        <v>60</v>
      </c>
      <c r="E2" s="23" t="s">
        <v>61</v>
      </c>
      <c r="F2" s="23" t="s">
        <v>21</v>
      </c>
      <c r="G2" s="23" t="s">
        <v>63</v>
      </c>
    </row>
    <row r="3" customFormat="false" ht="15" hidden="false" customHeight="false" outlineLevel="0" collapsed="false">
      <c r="A3" s="24" t="s">
        <v>25</v>
      </c>
      <c r="B3" s="25" t="n">
        <f aca="false">SUMIF('Raw Data'!C:C,A3,'Raw Data'!H:H)</f>
        <v>513934.18</v>
      </c>
      <c r="C3" s="25" t="n">
        <f aca="false">SUMIF('Raw Data'!C:C,A3,'Raw Data'!J:J)</f>
        <v>228855.29</v>
      </c>
      <c r="D3" s="26" t="n">
        <f aca="false">AVERAGEIF('Raw Data'!C:C,A3,'Raw Data'!K:K)</f>
        <v>0.443905771814777</v>
      </c>
      <c r="E3" s="25" t="n">
        <f aca="false">SUMIF('Raw Data'!C:C,A3,'Raw Data'!L:L)</f>
        <v>1447</v>
      </c>
      <c r="F3" s="25" t="n">
        <f aca="false">SUMIF('Raw Data'!C:C,A3,'Raw Data'!M:M)</f>
        <v>310</v>
      </c>
      <c r="G3" s="26" t="n">
        <f aca="false">AVERAGEIF('Raw Data'!C:C,A3,'Raw Data'!N:N)</f>
        <v>0.25993712051921</v>
      </c>
    </row>
    <row r="4" customFormat="false" ht="15" hidden="false" customHeight="false" outlineLevel="0" collapsed="false">
      <c r="A4" s="27" t="s">
        <v>32</v>
      </c>
      <c r="B4" s="28" t="n">
        <f aca="false">SUMIF('Raw Data'!C:C,A4,'Raw Data'!H:H)</f>
        <v>527833.46</v>
      </c>
      <c r="C4" s="28" t="n">
        <f aca="false">SUMIF('Raw Data'!C:C,A4,'Raw Data'!J:J)</f>
        <v>237715.51</v>
      </c>
      <c r="D4" s="29" t="n">
        <f aca="false">AVERAGEIF('Raw Data'!C:C,A4,'Raw Data'!K:K)</f>
        <v>0.451625970524065</v>
      </c>
      <c r="E4" s="28" t="n">
        <f aca="false">SUMIF('Raw Data'!C:C,A4,'Raw Data'!L:L)</f>
        <v>1363</v>
      </c>
      <c r="F4" s="28" t="n">
        <f aca="false">SUMIF('Raw Data'!C:C,A4,'Raw Data'!M:M)</f>
        <v>279</v>
      </c>
      <c r="G4" s="29" t="n">
        <f aca="false">AVERAGEIF('Raw Data'!C:C,A4,'Raw Data'!N:N)</f>
        <v>0.225229584126898</v>
      </c>
    </row>
    <row r="5" customFormat="false" ht="15" hidden="false" customHeight="false" outlineLevel="0" collapsed="false">
      <c r="A5" s="24" t="s">
        <v>37</v>
      </c>
      <c r="B5" s="25" t="n">
        <f aca="false">SUMIF('Raw Data'!C:C,A5,'Raw Data'!H:H)</f>
        <v>570044.1</v>
      </c>
      <c r="C5" s="25" t="n">
        <f aca="false">SUMIF('Raw Data'!C:C,A5,'Raw Data'!J:J)</f>
        <v>262042.03</v>
      </c>
      <c r="D5" s="26" t="n">
        <f aca="false">AVERAGEIF('Raw Data'!C:C,A5,'Raw Data'!K:K)</f>
        <v>0.450583504874916</v>
      </c>
      <c r="E5" s="25" t="n">
        <f aca="false">SUMIF('Raw Data'!C:C,A5,'Raw Data'!L:L)</f>
        <v>1280</v>
      </c>
      <c r="F5" s="25" t="n">
        <f aca="false">SUMIF('Raw Data'!C:C,A5,'Raw Data'!M:M)</f>
        <v>308</v>
      </c>
      <c r="G5" s="26" t="n">
        <f aca="false">AVERAGEIF('Raw Data'!C:C,A5,'Raw Data'!N:N)</f>
        <v>0.28745893208768</v>
      </c>
    </row>
    <row r="6" customFormat="false" ht="15" hidden="false" customHeight="false" outlineLevel="0" collapsed="false">
      <c r="A6" s="27" t="s">
        <v>39</v>
      </c>
      <c r="B6" s="28" t="n">
        <f aca="false">SUMIF('Raw Data'!C:C,A6,'Raw Data'!H:H)</f>
        <v>577279.73</v>
      </c>
      <c r="C6" s="28" t="n">
        <f aca="false">SUMIF('Raw Data'!C:C,A6,'Raw Data'!J:J)</f>
        <v>255261.98</v>
      </c>
      <c r="D6" s="29" t="n">
        <f aca="false">AVERAGEIF('Raw Data'!C:C,A6,'Raw Data'!K:K)</f>
        <v>0.451197978420739</v>
      </c>
      <c r="E6" s="28" t="n">
        <f aca="false">SUMIF('Raw Data'!C:C,A6,'Raw Data'!L:L)</f>
        <v>1296</v>
      </c>
      <c r="F6" s="28" t="n">
        <f aca="false">SUMIF('Raw Data'!C:C,A6,'Raw Data'!M:M)</f>
        <v>250</v>
      </c>
      <c r="G6" s="29" t="n">
        <f aca="false">AVERAGEIF('Raw Data'!C:C,A6,'Raw Data'!N:N)</f>
        <v>0.223075434343336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6"/>
  </cols>
  <sheetData>
    <row r="1" customFormat="false" ht="36" hidden="false" customHeight="true" outlineLevel="0" collapsed="false">
      <c r="A1" s="22" t="s">
        <v>66</v>
      </c>
      <c r="B1" s="22"/>
      <c r="C1" s="22"/>
      <c r="D1" s="22"/>
      <c r="E1" s="22"/>
      <c r="F1" s="22"/>
      <c r="G1" s="22"/>
    </row>
    <row r="2" customFormat="false" ht="31.5" hidden="false" customHeight="true" outlineLevel="0" collapsed="false">
      <c r="A2" s="23" t="s">
        <v>13</v>
      </c>
      <c r="B2" s="23" t="s">
        <v>14</v>
      </c>
      <c r="C2" s="23" t="s">
        <v>57</v>
      </c>
      <c r="D2" s="23" t="s">
        <v>59</v>
      </c>
      <c r="E2" s="23" t="s">
        <v>60</v>
      </c>
      <c r="F2" s="23" t="s">
        <v>67</v>
      </c>
      <c r="G2" s="23" t="s">
        <v>68</v>
      </c>
    </row>
    <row r="3" customFormat="false" ht="15" hidden="false" customHeight="false" outlineLevel="0" collapsed="false">
      <c r="A3" s="33" t="s">
        <v>29</v>
      </c>
      <c r="B3" s="25" t="n">
        <f aca="false">SUMIF('Raw Data'!E:E,A3,'Raw Data'!F:F)</f>
        <v>322</v>
      </c>
      <c r="C3" s="25" t="n">
        <f aca="false">SUMIF('Raw Data'!E:E,A3,'Raw Data'!H:H)</f>
        <v>388974.12</v>
      </c>
      <c r="D3" s="25" t="n">
        <f aca="false">SUMIF('Raw Data'!E:E,A3,'Raw Data'!J:J)</f>
        <v>174056.04</v>
      </c>
      <c r="E3" s="26" t="n">
        <f aca="false">AVERAGEIF('Raw Data'!E:E,A3,'Raw Data'!K:K)</f>
        <v>0.452659007614141</v>
      </c>
      <c r="F3" s="34" t="n">
        <f aca="false">AVERAGEIF('Raw Data'!E:E,A3,'Raw Data'!G:G)</f>
        <v>1200.69612903226</v>
      </c>
      <c r="G3" s="26" t="n">
        <f aca="false">C3/SUM(C3:C7)</f>
        <v>0.177687467760312</v>
      </c>
    </row>
    <row r="4" customFormat="false" ht="15" hidden="false" customHeight="false" outlineLevel="0" collapsed="false">
      <c r="A4" s="35" t="s">
        <v>38</v>
      </c>
      <c r="B4" s="28" t="n">
        <f aca="false">SUMIF('Raw Data'!E:E,A4,'Raw Data'!F:F)</f>
        <v>231</v>
      </c>
      <c r="C4" s="28" t="n">
        <f aca="false">SUMIF('Raw Data'!E:E,A4,'Raw Data'!H:H)</f>
        <v>196619.8</v>
      </c>
      <c r="D4" s="28" t="n">
        <f aca="false">SUMIF('Raw Data'!E:E,A4,'Raw Data'!J:J)</f>
        <v>85687.85</v>
      </c>
      <c r="E4" s="29" t="n">
        <f aca="false">AVERAGEIF('Raw Data'!E:E,A4,'Raw Data'!K:K)</f>
        <v>0.438552788084247</v>
      </c>
      <c r="F4" s="36" t="n">
        <f aca="false">AVERAGEIF('Raw Data'!E:E,A4,'Raw Data'!G:G)</f>
        <v>846.9435</v>
      </c>
      <c r="G4" s="29" t="n">
        <f aca="false">C4/SUM(C3:C7)</f>
        <v>0.0898179919361707</v>
      </c>
    </row>
    <row r="5" customFormat="false" ht="15" hidden="false" customHeight="false" outlineLevel="0" collapsed="false">
      <c r="A5" s="33" t="s">
        <v>27</v>
      </c>
      <c r="B5" s="25" t="n">
        <f aca="false">SUMIF('Raw Data'!E:E,A5,'Raw Data'!F:F)</f>
        <v>279</v>
      </c>
      <c r="C5" s="25" t="n">
        <f aca="false">SUMIF('Raw Data'!E:E,A5,'Raw Data'!H:H)</f>
        <v>671262.73</v>
      </c>
      <c r="D5" s="25" t="n">
        <f aca="false">SUMIF('Raw Data'!E:E,A5,'Raw Data'!J:J)</f>
        <v>307969.51</v>
      </c>
      <c r="E5" s="26" t="n">
        <f aca="false">AVERAGEIF('Raw Data'!E:E,A5,'Raw Data'!K:K)</f>
        <v>0.46388716468318</v>
      </c>
      <c r="F5" s="34" t="n">
        <f aca="false">AVERAGEIF('Raw Data'!E:E,A5,'Raw Data'!G:G)</f>
        <v>2453.0428</v>
      </c>
      <c r="G5" s="26" t="n">
        <f aca="false">C5/SUM(C3:C7)</f>
        <v>0.30663987284186</v>
      </c>
    </row>
    <row r="6" customFormat="false" ht="15" hidden="false" customHeight="false" outlineLevel="0" collapsed="false">
      <c r="A6" s="35" t="s">
        <v>36</v>
      </c>
      <c r="B6" s="28" t="n">
        <f aca="false">SUMIF('Raw Data'!E:E,A6,'Raw Data'!F:F)</f>
        <v>386</v>
      </c>
      <c r="C6" s="28" t="n">
        <f aca="false">SUMIF('Raw Data'!E:E,A6,'Raw Data'!H:H)</f>
        <v>156435.43</v>
      </c>
      <c r="D6" s="28" t="n">
        <f aca="false">SUMIF('Raw Data'!E:E,A6,'Raw Data'!J:J)</f>
        <v>70228.09</v>
      </c>
      <c r="E6" s="29" t="n">
        <f aca="false">AVERAGEIF('Raw Data'!E:E,A6,'Raw Data'!K:K)</f>
        <v>0.447084969923727</v>
      </c>
      <c r="F6" s="36" t="n">
        <f aca="false">AVERAGEIF('Raw Data'!E:E,A6,'Raw Data'!G:G)</f>
        <v>401.859722222222</v>
      </c>
      <c r="G6" s="29" t="n">
        <f aca="false">C6/SUM(C3:C7)</f>
        <v>0.07146134921443</v>
      </c>
    </row>
    <row r="7" customFormat="false" ht="15" hidden="false" customHeight="false" outlineLevel="0" collapsed="false">
      <c r="A7" s="33" t="s">
        <v>31</v>
      </c>
      <c r="B7" s="25" t="n">
        <f aca="false">SUMIF('Raw Data'!E:E,A7,'Raw Data'!F:F)</f>
        <v>428</v>
      </c>
      <c r="C7" s="25" t="n">
        <f aca="false">SUMIF('Raw Data'!E:E,A7,'Raw Data'!H:H)</f>
        <v>775799.39</v>
      </c>
      <c r="D7" s="25" t="n">
        <f aca="false">SUMIF('Raw Data'!E:E,A7,'Raw Data'!J:J)</f>
        <v>345933.32</v>
      </c>
      <c r="E7" s="26" t="n">
        <f aca="false">AVERAGEIF('Raw Data'!E:E,A7,'Raw Data'!K:K)</f>
        <v>0.443986034087029</v>
      </c>
      <c r="F7" s="34" t="n">
        <f aca="false">AVERAGEIF('Raw Data'!E:E,A7,'Raw Data'!G:G)</f>
        <v>1808.0328125</v>
      </c>
      <c r="G7" s="26" t="n">
        <f aca="false">C7/SUM(C3:C7)</f>
        <v>0.354393318247227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2026-03-11T09:34:13Z</dcterms:created>
  <dc:creator>openpyxl</dc:creator>
  <dc:description/>
  <dc:language>en-US</dc:language>
  <cp:lastModifiedBy/>
  <dcterms:modified xsi:type="dcterms:W3CDTF">2026-03-11T09:34:21Z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